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matteozanetti/Downloads/"/>
    </mc:Choice>
  </mc:AlternateContent>
  <xr:revisionPtr revIDLastSave="0" documentId="13_ncr:1_{444917EA-8A8F-CE4F-8C78-35FDA4932AFB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Assignments" sheetId="1" r:id="rId1"/>
    <sheet name="Sheet1" sheetId="4" r:id="rId2"/>
    <sheet name="Sheet2" sheetId="5" r:id="rId3"/>
    <sheet name="Orders" sheetId="2" r:id="rId4"/>
    <sheet name="Products" sheetId="3" r:id="rId5"/>
  </sheets>
  <definedNames>
    <definedName name="_xlnm._FilterDatabase" localSheetId="3" hidden="1">Orders!$A$1:$L$421</definedName>
    <definedName name="_xlnm._FilterDatabase" localSheetId="4" hidden="1">Products!$A$1:$F$25</definedName>
  </definedName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</calcChain>
</file>

<file path=xl/sharedStrings.xml><?xml version="1.0" encoding="utf-8"?>
<sst xmlns="http://schemas.openxmlformats.org/spreadsheetml/2006/main" count="1401" uniqueCount="90">
  <si>
    <t>1. In the "Orders" worksheet, add a new column named "Product_Name" immediately to the right of "Product_ID". For each order, retrieve the matching "Product_Name" from the "Products" worksheet using "Product_ID" as the common identifier. If the product is not listed in "Products", leave the result blank.</t>
  </si>
  <si>
    <t>2. In the "Orders" worksheet, create a new column named "Category". For each order, obtain the corresponding "Category" from "Products" by matching "Product_ID". Leave the result blank when no matching product is available.</t>
  </si>
  <si>
    <t>3. In the "Orders" worksheet, create a new column named "Unit_Cost". Retrieve the product cost from the "Unit_Cost" column in "Products" for each matching "Product_ID". Do not confuse "Unit_Cost" with the existing "Unit_Price" in "Orders". Leave unmatched records blank.</t>
  </si>
  <si>
    <t>4. In the "Orders" worksheet, add a column named "Brand" and populate it with the corresponding "Brand" from "Products", based on each order's "Product_ID". Leave unmatched records blank.</t>
  </si>
  <si>
    <t>5. In the "Orders" worksheet, add a column named "Subcategory". For each order, use "Product_ID" to identify and return the corresponding "Subcategory" in "Products". Leave unmatched records blank.</t>
  </si>
  <si>
    <t>6. In the "Orders" worksheet, create a new column named "Line_Total_Cost". For each order row with a matching product, multiply "Quantity" by the retrieved "Unit_Cost". Leave "Line_Total_Cost" blank if "Unit_Cost" is unavailable; do not substitute "Unit_Price".</t>
  </si>
  <si>
    <t>7. Create a PivotTable from the enriched "Orders" data on a new worksheet. Place "Category" in Rows and "Region" in Columns; display the sum of "Line_Total_Cost" in Values. Exclude records with a blank "Category" or "Line_Total_Cost" and show grand totals.</t>
  </si>
  <si>
    <t>8. Create a PivotTable on a new worksheet showing the sum of "Quantity" for each "Customer_Name" (Rows), broken down by "Sales_Channel" (Columns). Sort customers in descending order by their overall total quantity, rather than by the quantity in an individual channel.</t>
  </si>
  <si>
    <t>Region</t>
  </si>
  <si>
    <t>Unit_Price</t>
  </si>
  <si>
    <t>Order_ID</t>
  </si>
  <si>
    <t>Sales_Channel</t>
  </si>
  <si>
    <t>Quantity</t>
  </si>
  <si>
    <t>Order_Date</t>
  </si>
  <si>
    <t>Product_ID</t>
  </si>
  <si>
    <t>Customer_Name</t>
  </si>
  <si>
    <t>Islands</t>
  </si>
  <si>
    <t>Marketplace</t>
  </si>
  <si>
    <t>Delta SRL</t>
  </si>
  <si>
    <t>Central</t>
  </si>
  <si>
    <t>Online</t>
  </si>
  <si>
    <t>North</t>
  </si>
  <si>
    <t>In-store</t>
  </si>
  <si>
    <t>Zeta SRL</t>
  </si>
  <si>
    <t>Sales agent</t>
  </si>
  <si>
    <t>South</t>
  </si>
  <si>
    <t>Epsilon SPA</t>
  </si>
  <si>
    <t>Beta SPA</t>
  </si>
  <si>
    <t>Gamma SAS</t>
  </si>
  <si>
    <t>Alfa SRL</t>
  </si>
  <si>
    <t>Subcategory</t>
  </si>
  <si>
    <t>Brand</t>
  </si>
  <si>
    <t>Unit_Cost</t>
  </si>
  <si>
    <t>Category</t>
  </si>
  <si>
    <t>Product_Name</t>
  </si>
  <si>
    <t>Smartphone</t>
  </si>
  <si>
    <t>BrandC</t>
  </si>
  <si>
    <t>Electronics</t>
  </si>
  <si>
    <t>Smartphone Model 1</t>
  </si>
  <si>
    <t>BrandB</t>
  </si>
  <si>
    <t>Smartphone Model 2</t>
  </si>
  <si>
    <t>Laptop</t>
  </si>
  <si>
    <t>Laptop Model 1</t>
  </si>
  <si>
    <t>Laptop Model 2</t>
  </si>
  <si>
    <t>Tablet</t>
  </si>
  <si>
    <t>BrandD</t>
  </si>
  <si>
    <t>Tablet Model 1</t>
  </si>
  <si>
    <t>Tablet Model 2</t>
  </si>
  <si>
    <t>Kitchen</t>
  </si>
  <si>
    <t>Home</t>
  </si>
  <si>
    <t>Kitchen Model 1</t>
  </si>
  <si>
    <t>Kitchen Model 2</t>
  </si>
  <si>
    <t>Furniture</t>
  </si>
  <si>
    <t>Furniture Model 1</t>
  </si>
  <si>
    <t>Furniture Model 2</t>
  </si>
  <si>
    <t>Cleaning</t>
  </si>
  <si>
    <t>Cleaning Model 1</t>
  </si>
  <si>
    <t>Cleaning Model 2</t>
  </si>
  <si>
    <t>Fitness</t>
  </si>
  <si>
    <t>Sports</t>
  </si>
  <si>
    <t>Fitness Model 1</t>
  </si>
  <si>
    <t>BrandA</t>
  </si>
  <si>
    <t>Fitness Model 2</t>
  </si>
  <si>
    <t>Outdoor</t>
  </si>
  <si>
    <t>Outdoor Model 1</t>
  </si>
  <si>
    <t>Outdoor Model 2</t>
  </si>
  <si>
    <t>Clothing</t>
  </si>
  <si>
    <t>Clothing Model 1</t>
  </si>
  <si>
    <t>Clothing Model 2</t>
  </si>
  <si>
    <t>Stationery</t>
  </si>
  <si>
    <t>Office</t>
  </si>
  <si>
    <t>Stationery Model 1</t>
  </si>
  <si>
    <t>Stationery Model 2</t>
  </si>
  <si>
    <t>Office Furniture</t>
  </si>
  <si>
    <t>Office Furniture Model 1</t>
  </si>
  <si>
    <t>Office Furniture Model 2</t>
  </si>
  <si>
    <t>Printers</t>
  </si>
  <si>
    <t>Printers Model 1</t>
  </si>
  <si>
    <t>Printers Model 2</t>
  </si>
  <si>
    <t>Prod name</t>
  </si>
  <si>
    <t>Categ</t>
  </si>
  <si>
    <t>cost unit</t>
  </si>
  <si>
    <t>Brandd</t>
  </si>
  <si>
    <t>Subcat</t>
  </si>
  <si>
    <t>Row Labels</t>
  </si>
  <si>
    <t xml:space="preserve"> </t>
  </si>
  <si>
    <t>Grand Total</t>
  </si>
  <si>
    <t>Count of Region</t>
  </si>
  <si>
    <t>Sum of cost unit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</si>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</sst>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€&quot;"/>
  </numFmts>
  <fonts count="5" x14ac:knownFonts="1">
    <font>
      <sz val="11"/>
      <color theme="1"/>
      <name val="Calibri"/>
      <family val="2"/>
      <scheme val="minor"/>
    </font>
    <font>
      <sz val="11"/>
      <color rgb="FF17324D"/>
      <name val="Aptos"/>
    </font>
    <font>
      <b/>
      <sz val="11"/>
      <name val="Aptos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6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/>
    <xf numFmtId="14" fontId="2" fillId="0" borderId="0" xfId="0" applyNumberFormat="1" applyFont="1" applyAlignment="1">
      <alignment wrapText="1"/>
    </xf>
    <xf numFmtId="14" fontId="0" fillId="0" borderId="0" xfId="0" applyNumberFormat="1"/>
    <xf numFmtId="165" fontId="2" fillId="0" borderId="0" xfId="0" applyNumberFormat="1" applyFont="1" applyAlignment="1">
      <alignment wrapText="1"/>
    </xf>
    <xf numFmtId="165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165" formatCode="#,##0.00\ &quot;€&quot;"/>
    </dxf>
    <dxf>
      <numFmt numFmtId="165" formatCode="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eo Zanetti" refreshedDate="46317.504930902775" createdVersion="8" refreshedVersion="8" minRefreshableVersion="3" recordCount="420" xr:uid="{4E3DA0D4-FB76-5745-91F7-A6E69825FC83}">
  <cacheSource type="worksheet">
    <worksheetSource ref="A1:M421" sheet="Orders"/>
  </cacheSource>
  <cacheFields count="13">
    <cacheField name="Region" numFmtId="0">
      <sharedItems/>
    </cacheField>
    <cacheField name="Unit_Price" numFmtId="0">
      <sharedItems containsSemiMixedTypes="0" containsString="0" containsNumber="1" minValue="5.43" maxValue="498.45"/>
    </cacheField>
    <cacheField name="Order_ID" numFmtId="0">
      <sharedItems containsSemiMixedTypes="0" containsString="0" containsNumber="1" containsInteger="1" minValue="1" maxValue="420"/>
    </cacheField>
    <cacheField name="Sales_Channel" numFmtId="0">
      <sharedItems/>
    </cacheField>
    <cacheField name="Quantity" numFmtId="0">
      <sharedItems containsSemiMixedTypes="0" containsString="0" containsNumber="1" containsInteger="1" minValue="1" maxValue="50"/>
    </cacheField>
    <cacheField name="Order_Date" numFmtId="14">
      <sharedItems containsSemiMixedTypes="0" containsNonDate="0" containsDate="1" containsString="0" minDate="2023-01-01T00:00:00" maxDate="2023-12-30T00:00:00"/>
    </cacheField>
    <cacheField name="Categ" numFmtId="14">
      <sharedItems count="5">
        <s v="Office"/>
        <s v="Electronics"/>
        <s v="Home"/>
        <s v=" "/>
        <s v="Sports"/>
      </sharedItems>
    </cacheField>
    <cacheField name="Prod name" numFmtId="14">
      <sharedItems/>
    </cacheField>
    <cacheField name="Brandd" numFmtId="14">
      <sharedItems/>
    </cacheField>
    <cacheField name="cost unit" numFmtId="165">
      <sharedItems containsMixedTypes="1" containsNumber="1" minValue="3.75" maxValue="285.64999999999998"/>
    </cacheField>
    <cacheField name="Product_ID" numFmtId="0">
      <sharedItems containsSemiMixedTypes="0" containsString="0" containsNumber="1" containsInteger="1" minValue="1" maxValue="30"/>
    </cacheField>
    <cacheField name="Customer_Name" numFmtId="0">
      <sharedItems count="6">
        <s v="Delta SRL"/>
        <s v="Zeta SRL"/>
        <s v="Epsilon SPA"/>
        <s v="Beta SPA"/>
        <s v="Gamma SAS"/>
        <s v="Alfa SRL"/>
      </sharedItems>
    </cacheField>
    <cacheField name="Subca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s v="Islands"/>
    <n v="211.68"/>
    <n v="1"/>
    <s v="Marketplace"/>
    <n v="8"/>
    <d v="2023-07-04T00:00:00"/>
    <x v="0"/>
    <s v="Printers Model 2"/>
    <s v="BrandA"/>
    <n v="272.52"/>
    <n v="24"/>
    <x v="0"/>
    <s v="Printers"/>
  </r>
  <r>
    <s v="Islands"/>
    <n v="265.16000000000003"/>
    <n v="2"/>
    <s v="Marketplace"/>
    <n v="27"/>
    <d v="2023-11-04T00:00:00"/>
    <x v="1"/>
    <s v="Laptop Model 1"/>
    <s v="BrandB"/>
    <n v="251.46"/>
    <n v="3"/>
    <x v="0"/>
    <s v="Laptop"/>
  </r>
  <r>
    <s v="Central"/>
    <n v="279.89"/>
    <n v="3"/>
    <s v="Marketplace"/>
    <n v="26"/>
    <d v="2023-09-11T00:00:00"/>
    <x v="0"/>
    <s v="Stationery Model 2"/>
    <s v="BrandC"/>
    <n v="170.2"/>
    <n v="20"/>
    <x v="0"/>
    <s v="Stationery"/>
  </r>
  <r>
    <s v="Islands"/>
    <n v="60.62"/>
    <n v="4"/>
    <s v="Online"/>
    <n v="17"/>
    <d v="2023-12-20T00:00:00"/>
    <x v="1"/>
    <s v="Smartphone Model 2"/>
    <s v="BrandB"/>
    <n v="43.27"/>
    <n v="2"/>
    <x v="0"/>
    <s v="Smartphone"/>
  </r>
  <r>
    <s v="North"/>
    <n v="449.41"/>
    <n v="5"/>
    <s v="In-store"/>
    <n v="15"/>
    <d v="2023-12-06T00:00:00"/>
    <x v="0"/>
    <s v="Stationery Model 2"/>
    <s v="BrandC"/>
    <n v="170.2"/>
    <n v="20"/>
    <x v="1"/>
    <s v="Stationery"/>
  </r>
  <r>
    <s v="Central"/>
    <n v="423.26"/>
    <n v="6"/>
    <s v="Sales agent"/>
    <n v="44"/>
    <d v="2023-03-04T00:00:00"/>
    <x v="0"/>
    <s v="Stationery Model 1"/>
    <s v="BrandB"/>
    <n v="73"/>
    <n v="19"/>
    <x v="1"/>
    <s v="Stationery"/>
  </r>
  <r>
    <s v="South"/>
    <n v="307.33"/>
    <n v="7"/>
    <s v="In-store"/>
    <n v="29"/>
    <d v="2023-03-15T00:00:00"/>
    <x v="1"/>
    <s v="Smartphone Model 1"/>
    <s v="BrandC"/>
    <n v="285.64999999999998"/>
    <n v="1"/>
    <x v="2"/>
    <s v="Smartphone"/>
  </r>
  <r>
    <s v="South"/>
    <n v="365.24"/>
    <n v="8"/>
    <s v="Online"/>
    <n v="23"/>
    <d v="2023-03-22T00:00:00"/>
    <x v="0"/>
    <s v="Office Furniture Model 1"/>
    <s v="BrandC"/>
    <n v="67.66"/>
    <n v="21"/>
    <x v="1"/>
    <s v="Office Furniture"/>
  </r>
  <r>
    <s v="South"/>
    <n v="467.1"/>
    <n v="9"/>
    <s v="Online"/>
    <n v="48"/>
    <d v="2023-11-29T00:00:00"/>
    <x v="1"/>
    <s v="Laptop Model 2"/>
    <s v="BrandB"/>
    <n v="65.05"/>
    <n v="4"/>
    <x v="3"/>
    <s v="Laptop"/>
  </r>
  <r>
    <s v="Central"/>
    <n v="479.01"/>
    <n v="10"/>
    <s v="Online"/>
    <n v="7"/>
    <d v="2023-04-24T00:00:00"/>
    <x v="0"/>
    <s v="Printers Model 1"/>
    <s v="BrandA"/>
    <n v="36.47"/>
    <n v="23"/>
    <x v="0"/>
    <s v="Printers"/>
  </r>
  <r>
    <s v="Central"/>
    <n v="154.76"/>
    <n v="11"/>
    <s v="Sales agent"/>
    <n v="29"/>
    <d v="2023-08-04T00:00:00"/>
    <x v="2"/>
    <s v="Cleaning Model 2"/>
    <s v="BrandB"/>
    <n v="209.52"/>
    <n v="12"/>
    <x v="3"/>
    <s v="Cleaning"/>
  </r>
  <r>
    <s v="North"/>
    <n v="88.88"/>
    <n v="12"/>
    <s v="Sales agent"/>
    <n v="41"/>
    <d v="2023-06-10T00:00:00"/>
    <x v="2"/>
    <s v="Furniture Model 1"/>
    <s v="BrandD"/>
    <n v="7.21"/>
    <n v="9"/>
    <x v="4"/>
    <s v="Furniture"/>
  </r>
  <r>
    <s v="Central"/>
    <n v="42.29"/>
    <n v="13"/>
    <s v="Sales agent"/>
    <n v="22"/>
    <d v="2023-07-22T00:00:00"/>
    <x v="2"/>
    <s v="Kitchen Model 1"/>
    <s v="BrandB"/>
    <n v="27.76"/>
    <n v="7"/>
    <x v="1"/>
    <s v="Kitchen"/>
  </r>
  <r>
    <s v="South"/>
    <n v="228.44"/>
    <n v="14"/>
    <s v="Marketplace"/>
    <n v="20"/>
    <d v="2023-12-24T00:00:00"/>
    <x v="3"/>
    <s v=" "/>
    <s v=" "/>
    <s v=" "/>
    <n v="26"/>
    <x v="5"/>
    <s v=" "/>
  </r>
  <r>
    <s v="South"/>
    <n v="49.5"/>
    <n v="15"/>
    <s v="Online"/>
    <n v="14"/>
    <d v="2023-04-17T00:00:00"/>
    <x v="0"/>
    <s v="Stationery Model 1"/>
    <s v="BrandB"/>
    <n v="73"/>
    <n v="19"/>
    <x v="0"/>
    <s v="Stationery"/>
  </r>
  <r>
    <s v="Islands"/>
    <n v="408.61"/>
    <n v="16"/>
    <s v="In-store"/>
    <n v="3"/>
    <d v="2023-03-09T00:00:00"/>
    <x v="4"/>
    <s v="Outdoor Model 1"/>
    <s v="BrandD"/>
    <n v="223.53"/>
    <n v="15"/>
    <x v="4"/>
    <s v="Outdoor"/>
  </r>
  <r>
    <s v="North"/>
    <n v="154.74"/>
    <n v="17"/>
    <s v="Online"/>
    <n v="4"/>
    <d v="2023-04-10T00:00:00"/>
    <x v="0"/>
    <s v="Office Furniture Model 2"/>
    <s v="BrandA"/>
    <n v="59.72"/>
    <n v="22"/>
    <x v="5"/>
    <s v="Office Furniture"/>
  </r>
  <r>
    <s v="Central"/>
    <n v="450.39"/>
    <n v="18"/>
    <s v="Marketplace"/>
    <n v="13"/>
    <d v="2023-10-16T00:00:00"/>
    <x v="2"/>
    <s v="Furniture Model 1"/>
    <s v="BrandD"/>
    <n v="7.21"/>
    <n v="9"/>
    <x v="0"/>
    <s v="Furniture"/>
  </r>
  <r>
    <s v="Central"/>
    <n v="230.08"/>
    <n v="19"/>
    <s v="Online"/>
    <n v="7"/>
    <d v="2023-09-28T00:00:00"/>
    <x v="0"/>
    <s v="Office Furniture Model 2"/>
    <s v="BrandA"/>
    <n v="59.72"/>
    <n v="22"/>
    <x v="1"/>
    <s v="Office Furniture"/>
  </r>
  <r>
    <s v="North"/>
    <n v="277.20999999999998"/>
    <n v="20"/>
    <s v="Marketplace"/>
    <n v="27"/>
    <d v="2023-07-17T00:00:00"/>
    <x v="4"/>
    <s v="Outdoor Model 1"/>
    <s v="BrandD"/>
    <n v="223.53"/>
    <n v="15"/>
    <x v="2"/>
    <s v="Outdoor"/>
  </r>
  <r>
    <s v="Central"/>
    <n v="206.27"/>
    <n v="21"/>
    <s v="Online"/>
    <n v="5"/>
    <d v="2023-07-06T00:00:00"/>
    <x v="1"/>
    <s v="Laptop Model 2"/>
    <s v="BrandB"/>
    <n v="65.05"/>
    <n v="4"/>
    <x v="5"/>
    <s v="Laptop"/>
  </r>
  <r>
    <s v="Islands"/>
    <n v="180.61"/>
    <n v="22"/>
    <s v="Marketplace"/>
    <n v="33"/>
    <d v="2023-04-22T00:00:00"/>
    <x v="0"/>
    <s v="Stationery Model 1"/>
    <s v="BrandB"/>
    <n v="73"/>
    <n v="19"/>
    <x v="2"/>
    <s v="Stationery"/>
  </r>
  <r>
    <s v="North"/>
    <n v="460.26"/>
    <n v="23"/>
    <s v="In-store"/>
    <n v="48"/>
    <d v="2023-08-17T00:00:00"/>
    <x v="2"/>
    <s v="Kitchen Model 1"/>
    <s v="BrandB"/>
    <n v="27.76"/>
    <n v="7"/>
    <x v="1"/>
    <s v="Kitchen"/>
  </r>
  <r>
    <s v="Islands"/>
    <n v="497.07"/>
    <n v="24"/>
    <s v="In-store"/>
    <n v="5"/>
    <d v="2023-10-09T00:00:00"/>
    <x v="4"/>
    <s v="Clothing Model 1"/>
    <s v="BrandD"/>
    <n v="111.57"/>
    <n v="17"/>
    <x v="0"/>
    <s v="Clothing"/>
  </r>
  <r>
    <s v="North"/>
    <n v="280.02999999999997"/>
    <n v="25"/>
    <s v="Sales agent"/>
    <n v="22"/>
    <d v="2023-05-06T00:00:00"/>
    <x v="1"/>
    <s v="Smartphone Model 2"/>
    <s v="BrandB"/>
    <n v="43.27"/>
    <n v="2"/>
    <x v="4"/>
    <s v="Smartphone"/>
  </r>
  <r>
    <s v="North"/>
    <n v="462.25"/>
    <n v="26"/>
    <s v="Online"/>
    <n v="36"/>
    <d v="2023-10-14T00:00:00"/>
    <x v="2"/>
    <s v="Cleaning Model 1"/>
    <s v="BrandD"/>
    <n v="191.61"/>
    <n v="11"/>
    <x v="5"/>
    <s v="Cleaning"/>
  </r>
  <r>
    <s v="Central"/>
    <n v="93.98"/>
    <n v="27"/>
    <s v="In-store"/>
    <n v="21"/>
    <d v="2023-11-08T00:00:00"/>
    <x v="1"/>
    <s v="Laptop Model 2"/>
    <s v="BrandB"/>
    <n v="65.05"/>
    <n v="4"/>
    <x v="5"/>
    <s v="Laptop"/>
  </r>
  <r>
    <s v="South"/>
    <n v="62.21"/>
    <n v="28"/>
    <s v="Online"/>
    <n v="20"/>
    <d v="2023-12-26T00:00:00"/>
    <x v="3"/>
    <s v=" "/>
    <s v=" "/>
    <s v=" "/>
    <n v="26"/>
    <x v="2"/>
    <s v=" "/>
  </r>
  <r>
    <s v="South"/>
    <n v="170.65"/>
    <n v="29"/>
    <s v="Marketplace"/>
    <n v="33"/>
    <d v="2023-11-16T00:00:00"/>
    <x v="4"/>
    <s v="Outdoor Model 2"/>
    <s v="BrandA"/>
    <n v="21.27"/>
    <n v="16"/>
    <x v="0"/>
    <s v="Outdoor"/>
  </r>
  <r>
    <s v="North"/>
    <n v="51.58"/>
    <n v="30"/>
    <s v="Marketplace"/>
    <n v="32"/>
    <d v="2023-10-04T00:00:00"/>
    <x v="1"/>
    <s v="Smartphone Model 2"/>
    <s v="BrandB"/>
    <n v="43.27"/>
    <n v="2"/>
    <x v="2"/>
    <s v="Smartphone"/>
  </r>
  <r>
    <s v="Central"/>
    <n v="7.16"/>
    <n v="31"/>
    <s v="Online"/>
    <n v="43"/>
    <d v="2023-10-29T00:00:00"/>
    <x v="0"/>
    <s v="Office Furniture Model 1"/>
    <s v="BrandC"/>
    <n v="67.66"/>
    <n v="21"/>
    <x v="0"/>
    <s v="Office Furniture"/>
  </r>
  <r>
    <s v="Central"/>
    <n v="304.64999999999998"/>
    <n v="32"/>
    <s v="Online"/>
    <n v="32"/>
    <d v="2023-03-25T00:00:00"/>
    <x v="0"/>
    <s v="Stationery Model 1"/>
    <s v="BrandB"/>
    <n v="73"/>
    <n v="19"/>
    <x v="5"/>
    <s v="Stationery"/>
  </r>
  <r>
    <s v="South"/>
    <n v="444.09"/>
    <n v="33"/>
    <s v="Marketplace"/>
    <n v="50"/>
    <d v="2023-04-19T00:00:00"/>
    <x v="2"/>
    <s v="Cleaning Model 1"/>
    <s v="BrandD"/>
    <n v="191.61"/>
    <n v="11"/>
    <x v="5"/>
    <s v="Cleaning"/>
  </r>
  <r>
    <s v="Islands"/>
    <n v="308.63"/>
    <n v="34"/>
    <s v="Marketplace"/>
    <n v="7"/>
    <d v="2023-06-29T00:00:00"/>
    <x v="4"/>
    <s v="Fitness Model 2"/>
    <s v="BrandA"/>
    <n v="63.68"/>
    <n v="14"/>
    <x v="0"/>
    <s v="Fitness"/>
  </r>
  <r>
    <s v="Central"/>
    <n v="181.02"/>
    <n v="35"/>
    <s v="Sales agent"/>
    <n v="47"/>
    <d v="2023-06-02T00:00:00"/>
    <x v="0"/>
    <s v="Printers Model 1"/>
    <s v="BrandA"/>
    <n v="36.47"/>
    <n v="23"/>
    <x v="3"/>
    <s v="Printers"/>
  </r>
  <r>
    <s v="North"/>
    <n v="154.09"/>
    <n v="36"/>
    <s v="In-store"/>
    <n v="42"/>
    <d v="2023-09-04T00:00:00"/>
    <x v="1"/>
    <s v="Smartphone Model 2"/>
    <s v="BrandB"/>
    <n v="43.27"/>
    <n v="2"/>
    <x v="5"/>
    <s v="Smartphone"/>
  </r>
  <r>
    <s v="North"/>
    <n v="384.15"/>
    <n v="37"/>
    <s v="Marketplace"/>
    <n v="50"/>
    <d v="2023-09-18T00:00:00"/>
    <x v="4"/>
    <s v="Clothing Model 1"/>
    <s v="BrandD"/>
    <n v="111.57"/>
    <n v="17"/>
    <x v="1"/>
    <s v="Clothing"/>
  </r>
  <r>
    <s v="Islands"/>
    <n v="311.69"/>
    <n v="38"/>
    <s v="In-store"/>
    <n v="46"/>
    <d v="2023-11-17T00:00:00"/>
    <x v="0"/>
    <s v="Stationery Model 2"/>
    <s v="BrandC"/>
    <n v="170.2"/>
    <n v="20"/>
    <x v="4"/>
    <s v="Stationery"/>
  </r>
  <r>
    <s v="North"/>
    <n v="113.45"/>
    <n v="39"/>
    <s v="Online"/>
    <n v="11"/>
    <d v="2023-04-29T00:00:00"/>
    <x v="2"/>
    <s v="Cleaning Model 1"/>
    <s v="BrandD"/>
    <n v="191.61"/>
    <n v="11"/>
    <x v="2"/>
    <s v="Cleaning"/>
  </r>
  <r>
    <s v="Islands"/>
    <n v="247.28"/>
    <n v="40"/>
    <s v="Sales agent"/>
    <n v="27"/>
    <d v="2023-11-03T00:00:00"/>
    <x v="1"/>
    <s v="Tablet Model 2"/>
    <s v="BrandB"/>
    <n v="184.01"/>
    <n v="6"/>
    <x v="0"/>
    <s v="Tablet"/>
  </r>
  <r>
    <s v="North"/>
    <n v="49.68"/>
    <n v="41"/>
    <s v="In-store"/>
    <n v="38"/>
    <d v="2023-07-15T00:00:00"/>
    <x v="3"/>
    <s v=" "/>
    <s v=" "/>
    <s v=" "/>
    <n v="25"/>
    <x v="1"/>
    <s v=" "/>
  </r>
  <r>
    <s v="Islands"/>
    <n v="11.81"/>
    <n v="42"/>
    <s v="Online"/>
    <n v="48"/>
    <d v="2023-08-12T00:00:00"/>
    <x v="4"/>
    <s v="Outdoor Model 2"/>
    <s v="BrandA"/>
    <n v="21.27"/>
    <n v="16"/>
    <x v="3"/>
    <s v="Outdoor"/>
  </r>
  <r>
    <s v="Islands"/>
    <n v="40.44"/>
    <n v="43"/>
    <s v="Marketplace"/>
    <n v="8"/>
    <d v="2023-08-27T00:00:00"/>
    <x v="4"/>
    <s v="Fitness Model 1"/>
    <s v="BrandB"/>
    <n v="227.4"/>
    <n v="13"/>
    <x v="4"/>
    <s v="Fitness"/>
  </r>
  <r>
    <s v="South"/>
    <n v="91.41"/>
    <n v="44"/>
    <s v="Online"/>
    <n v="31"/>
    <d v="2023-06-07T00:00:00"/>
    <x v="3"/>
    <s v=" "/>
    <s v=" "/>
    <s v=" "/>
    <n v="28"/>
    <x v="0"/>
    <s v=" "/>
  </r>
  <r>
    <s v="Central"/>
    <n v="178.08"/>
    <n v="45"/>
    <s v="Sales agent"/>
    <n v="2"/>
    <d v="2023-02-06T00:00:00"/>
    <x v="1"/>
    <s v="Tablet Model 2"/>
    <s v="BrandB"/>
    <n v="184.01"/>
    <n v="6"/>
    <x v="2"/>
    <s v="Tablet"/>
  </r>
  <r>
    <s v="South"/>
    <n v="451.78"/>
    <n v="46"/>
    <s v="Online"/>
    <n v="46"/>
    <d v="2023-04-27T00:00:00"/>
    <x v="2"/>
    <s v="Furniture Model 2"/>
    <s v="BrandD"/>
    <n v="3.75"/>
    <n v="10"/>
    <x v="5"/>
    <s v="Furniture"/>
  </r>
  <r>
    <s v="South"/>
    <n v="432.65"/>
    <n v="47"/>
    <s v="Sales agent"/>
    <n v="40"/>
    <d v="2023-03-30T00:00:00"/>
    <x v="4"/>
    <s v="Clothing Model 1"/>
    <s v="BrandD"/>
    <n v="111.57"/>
    <n v="17"/>
    <x v="1"/>
    <s v="Clothing"/>
  </r>
  <r>
    <s v="North"/>
    <n v="189.95"/>
    <n v="48"/>
    <s v="Online"/>
    <n v="26"/>
    <d v="2023-06-19T00:00:00"/>
    <x v="1"/>
    <s v="Smartphone Model 1"/>
    <s v="BrandC"/>
    <n v="285.64999999999998"/>
    <n v="1"/>
    <x v="0"/>
    <s v="Smartphone"/>
  </r>
  <r>
    <s v="South"/>
    <n v="46.8"/>
    <n v="49"/>
    <s v="In-store"/>
    <n v="5"/>
    <d v="2023-02-02T00:00:00"/>
    <x v="3"/>
    <s v=" "/>
    <s v=" "/>
    <s v=" "/>
    <n v="25"/>
    <x v="5"/>
    <s v=" "/>
  </r>
  <r>
    <s v="South"/>
    <n v="452.13"/>
    <n v="50"/>
    <s v="Online"/>
    <n v="38"/>
    <d v="2023-06-22T00:00:00"/>
    <x v="2"/>
    <s v="Kitchen Model 2"/>
    <s v="BrandC"/>
    <n v="163.13999999999999"/>
    <n v="8"/>
    <x v="4"/>
    <s v="Kitchen"/>
  </r>
  <r>
    <s v="South"/>
    <n v="156.1"/>
    <n v="51"/>
    <s v="Sales agent"/>
    <n v="43"/>
    <d v="2023-10-21T00:00:00"/>
    <x v="1"/>
    <s v="Laptop Model 2"/>
    <s v="BrandB"/>
    <n v="65.05"/>
    <n v="4"/>
    <x v="4"/>
    <s v="Laptop"/>
  </r>
  <r>
    <s v="Islands"/>
    <n v="174.49"/>
    <n v="52"/>
    <s v="Marketplace"/>
    <n v="30"/>
    <d v="2023-05-16T00:00:00"/>
    <x v="3"/>
    <s v=" "/>
    <s v=" "/>
    <s v=" "/>
    <n v="26"/>
    <x v="3"/>
    <s v=" "/>
  </r>
  <r>
    <s v="North"/>
    <n v="329.5"/>
    <n v="53"/>
    <s v="Online"/>
    <n v="12"/>
    <d v="2023-11-16T00:00:00"/>
    <x v="3"/>
    <s v=" "/>
    <s v=" "/>
    <s v=" "/>
    <n v="30"/>
    <x v="4"/>
    <s v=" "/>
  </r>
  <r>
    <s v="Central"/>
    <n v="307.56"/>
    <n v="54"/>
    <s v="In-store"/>
    <n v="12"/>
    <d v="2023-08-10T00:00:00"/>
    <x v="4"/>
    <s v="Fitness Model 2"/>
    <s v="BrandA"/>
    <n v="63.68"/>
    <n v="14"/>
    <x v="3"/>
    <s v="Fitness"/>
  </r>
  <r>
    <s v="Islands"/>
    <n v="382.13"/>
    <n v="55"/>
    <s v="Marketplace"/>
    <n v="31"/>
    <d v="2023-11-11T00:00:00"/>
    <x v="0"/>
    <s v="Stationery Model 2"/>
    <s v="BrandC"/>
    <n v="170.2"/>
    <n v="20"/>
    <x v="2"/>
    <s v="Stationery"/>
  </r>
  <r>
    <s v="South"/>
    <n v="129.69999999999999"/>
    <n v="56"/>
    <s v="Marketplace"/>
    <n v="13"/>
    <d v="2023-09-03T00:00:00"/>
    <x v="0"/>
    <s v="Printers Model 1"/>
    <s v="BrandA"/>
    <n v="36.47"/>
    <n v="23"/>
    <x v="0"/>
    <s v="Printers"/>
  </r>
  <r>
    <s v="Central"/>
    <n v="198.66"/>
    <n v="57"/>
    <s v="Marketplace"/>
    <n v="33"/>
    <d v="2023-05-02T00:00:00"/>
    <x v="0"/>
    <s v="Stationery Model 1"/>
    <s v="BrandB"/>
    <n v="73"/>
    <n v="19"/>
    <x v="3"/>
    <s v="Stationery"/>
  </r>
  <r>
    <s v="Central"/>
    <n v="113.72"/>
    <n v="58"/>
    <s v="Sales agent"/>
    <n v="30"/>
    <d v="2023-06-29T00:00:00"/>
    <x v="2"/>
    <s v="Cleaning Model 1"/>
    <s v="BrandD"/>
    <n v="191.61"/>
    <n v="11"/>
    <x v="1"/>
    <s v="Cleaning"/>
  </r>
  <r>
    <s v="Central"/>
    <n v="192.94"/>
    <n v="59"/>
    <s v="Sales agent"/>
    <n v="42"/>
    <d v="2023-08-30T00:00:00"/>
    <x v="3"/>
    <s v=" "/>
    <s v=" "/>
    <s v=" "/>
    <n v="26"/>
    <x v="3"/>
    <s v=" "/>
  </r>
  <r>
    <s v="Central"/>
    <n v="450"/>
    <n v="60"/>
    <s v="Marketplace"/>
    <n v="43"/>
    <d v="2023-07-07T00:00:00"/>
    <x v="1"/>
    <s v="Laptop Model 1"/>
    <s v="BrandB"/>
    <n v="251.46"/>
    <n v="3"/>
    <x v="2"/>
    <s v="Laptop"/>
  </r>
  <r>
    <s v="Central"/>
    <n v="47.61"/>
    <n v="61"/>
    <s v="In-store"/>
    <n v="10"/>
    <d v="2023-08-12T00:00:00"/>
    <x v="1"/>
    <s v="Laptop Model 1"/>
    <s v="BrandB"/>
    <n v="251.46"/>
    <n v="3"/>
    <x v="2"/>
    <s v="Laptop"/>
  </r>
  <r>
    <s v="South"/>
    <n v="133.80000000000001"/>
    <n v="62"/>
    <s v="In-store"/>
    <n v="7"/>
    <d v="2023-02-22T00:00:00"/>
    <x v="0"/>
    <s v="Office Furniture Model 2"/>
    <s v="BrandA"/>
    <n v="59.72"/>
    <n v="22"/>
    <x v="0"/>
    <s v="Office Furniture"/>
  </r>
  <r>
    <s v="South"/>
    <n v="140.82"/>
    <n v="63"/>
    <s v="Online"/>
    <n v="49"/>
    <d v="2023-08-31T00:00:00"/>
    <x v="2"/>
    <s v="Kitchen Model 2"/>
    <s v="BrandC"/>
    <n v="163.13999999999999"/>
    <n v="8"/>
    <x v="0"/>
    <s v="Kitchen"/>
  </r>
  <r>
    <s v="Islands"/>
    <n v="151.52000000000001"/>
    <n v="64"/>
    <s v="Marketplace"/>
    <n v="25"/>
    <d v="2023-03-28T00:00:00"/>
    <x v="0"/>
    <s v="Office Furniture Model 2"/>
    <s v="BrandA"/>
    <n v="59.72"/>
    <n v="22"/>
    <x v="2"/>
    <s v="Office Furniture"/>
  </r>
  <r>
    <s v="Islands"/>
    <n v="97.53"/>
    <n v="65"/>
    <s v="Marketplace"/>
    <n v="23"/>
    <d v="2023-09-07T00:00:00"/>
    <x v="0"/>
    <s v="Office Furniture Model 1"/>
    <s v="BrandC"/>
    <n v="67.66"/>
    <n v="21"/>
    <x v="1"/>
    <s v="Office Furniture"/>
  </r>
  <r>
    <s v="Central"/>
    <n v="97.22"/>
    <n v="66"/>
    <s v="In-store"/>
    <n v="21"/>
    <d v="2023-08-18T00:00:00"/>
    <x v="3"/>
    <s v=" "/>
    <s v=" "/>
    <s v=" "/>
    <n v="28"/>
    <x v="3"/>
    <s v=" "/>
  </r>
  <r>
    <s v="North"/>
    <n v="450.73"/>
    <n v="67"/>
    <s v="Sales agent"/>
    <n v="38"/>
    <d v="2023-02-09T00:00:00"/>
    <x v="2"/>
    <s v="Furniture Model 2"/>
    <s v="BrandD"/>
    <n v="3.75"/>
    <n v="10"/>
    <x v="0"/>
    <s v="Furniture"/>
  </r>
  <r>
    <s v="North"/>
    <n v="439.28"/>
    <n v="68"/>
    <s v="Online"/>
    <n v="46"/>
    <d v="2023-04-30T00:00:00"/>
    <x v="3"/>
    <s v=" "/>
    <s v=" "/>
    <s v=" "/>
    <n v="28"/>
    <x v="3"/>
    <s v=" "/>
  </r>
  <r>
    <s v="Islands"/>
    <n v="303.98"/>
    <n v="69"/>
    <s v="Online"/>
    <n v="37"/>
    <d v="2023-09-27T00:00:00"/>
    <x v="3"/>
    <s v=" "/>
    <s v=" "/>
    <s v=" "/>
    <n v="30"/>
    <x v="3"/>
    <s v=" "/>
  </r>
  <r>
    <s v="Central"/>
    <n v="44"/>
    <n v="70"/>
    <s v="Marketplace"/>
    <n v="16"/>
    <d v="2023-09-12T00:00:00"/>
    <x v="4"/>
    <s v="Clothing Model 1"/>
    <s v="BrandD"/>
    <n v="111.57"/>
    <n v="17"/>
    <x v="2"/>
    <s v="Clothing"/>
  </r>
  <r>
    <s v="South"/>
    <n v="342.06"/>
    <n v="71"/>
    <s v="Online"/>
    <n v="13"/>
    <d v="2023-03-29T00:00:00"/>
    <x v="4"/>
    <s v="Clothing Model 1"/>
    <s v="BrandD"/>
    <n v="111.57"/>
    <n v="17"/>
    <x v="3"/>
    <s v="Clothing"/>
  </r>
  <r>
    <s v="South"/>
    <n v="143.09"/>
    <n v="72"/>
    <s v="Marketplace"/>
    <n v="23"/>
    <d v="2023-11-10T00:00:00"/>
    <x v="4"/>
    <s v="Fitness Model 1"/>
    <s v="BrandB"/>
    <n v="227.4"/>
    <n v="13"/>
    <x v="4"/>
    <s v="Fitness"/>
  </r>
  <r>
    <s v="Central"/>
    <n v="44.92"/>
    <n v="73"/>
    <s v="Online"/>
    <n v="12"/>
    <d v="2023-05-19T00:00:00"/>
    <x v="1"/>
    <s v="Tablet Model 2"/>
    <s v="BrandB"/>
    <n v="184.01"/>
    <n v="6"/>
    <x v="3"/>
    <s v="Tablet"/>
  </r>
  <r>
    <s v="Islands"/>
    <n v="198.7"/>
    <n v="74"/>
    <s v="In-store"/>
    <n v="37"/>
    <d v="2023-07-31T00:00:00"/>
    <x v="3"/>
    <s v=" "/>
    <s v=" "/>
    <s v=" "/>
    <n v="25"/>
    <x v="3"/>
    <s v=" "/>
  </r>
  <r>
    <s v="North"/>
    <n v="121.13"/>
    <n v="75"/>
    <s v="Online"/>
    <n v="1"/>
    <d v="2023-07-06T00:00:00"/>
    <x v="2"/>
    <s v="Cleaning Model 1"/>
    <s v="BrandD"/>
    <n v="191.61"/>
    <n v="11"/>
    <x v="4"/>
    <s v="Cleaning"/>
  </r>
  <r>
    <s v="Islands"/>
    <n v="279.07"/>
    <n v="76"/>
    <s v="In-store"/>
    <n v="26"/>
    <d v="2023-01-03T00:00:00"/>
    <x v="1"/>
    <s v="Laptop Model 2"/>
    <s v="BrandB"/>
    <n v="65.05"/>
    <n v="4"/>
    <x v="5"/>
    <s v="Laptop"/>
  </r>
  <r>
    <s v="Islands"/>
    <n v="99.03"/>
    <n v="77"/>
    <s v="Online"/>
    <n v="25"/>
    <d v="2023-03-10T00:00:00"/>
    <x v="3"/>
    <s v=" "/>
    <s v=" "/>
    <s v=" "/>
    <n v="27"/>
    <x v="3"/>
    <s v=" "/>
  </r>
  <r>
    <s v="South"/>
    <n v="184.55"/>
    <n v="78"/>
    <s v="In-store"/>
    <n v="16"/>
    <d v="2023-04-09T00:00:00"/>
    <x v="3"/>
    <s v=" "/>
    <s v=" "/>
    <s v=" "/>
    <n v="29"/>
    <x v="3"/>
    <s v=" "/>
  </r>
  <r>
    <s v="South"/>
    <n v="425.78"/>
    <n v="79"/>
    <s v="Online"/>
    <n v="12"/>
    <d v="2023-05-31T00:00:00"/>
    <x v="1"/>
    <s v="Smartphone Model 2"/>
    <s v="BrandB"/>
    <n v="43.27"/>
    <n v="2"/>
    <x v="1"/>
    <s v="Smartphone"/>
  </r>
  <r>
    <s v="Islands"/>
    <n v="392.8"/>
    <n v="80"/>
    <s v="Online"/>
    <n v="21"/>
    <d v="2023-03-08T00:00:00"/>
    <x v="0"/>
    <s v="Printers Model 1"/>
    <s v="BrandA"/>
    <n v="36.47"/>
    <n v="23"/>
    <x v="1"/>
    <s v="Printers"/>
  </r>
  <r>
    <s v="South"/>
    <n v="200.14"/>
    <n v="81"/>
    <s v="Sales agent"/>
    <n v="42"/>
    <d v="2023-02-13T00:00:00"/>
    <x v="2"/>
    <s v="Cleaning Model 1"/>
    <s v="BrandD"/>
    <n v="191.61"/>
    <n v="11"/>
    <x v="1"/>
    <s v="Cleaning"/>
  </r>
  <r>
    <s v="Central"/>
    <n v="75.45"/>
    <n v="82"/>
    <s v="Marketplace"/>
    <n v="45"/>
    <d v="2023-09-21T00:00:00"/>
    <x v="0"/>
    <s v="Office Furniture Model 1"/>
    <s v="BrandC"/>
    <n v="67.66"/>
    <n v="21"/>
    <x v="5"/>
    <s v="Office Furniture"/>
  </r>
  <r>
    <s v="Central"/>
    <n v="238.59"/>
    <n v="83"/>
    <s v="Sales agent"/>
    <n v="23"/>
    <d v="2023-10-31T00:00:00"/>
    <x v="4"/>
    <s v="Clothing Model 2"/>
    <s v="BrandB"/>
    <n v="247.45"/>
    <n v="18"/>
    <x v="3"/>
    <s v="Clothing"/>
  </r>
  <r>
    <s v="South"/>
    <n v="71.28"/>
    <n v="84"/>
    <s v="Sales agent"/>
    <n v="27"/>
    <d v="2023-09-07T00:00:00"/>
    <x v="0"/>
    <s v="Office Furniture Model 1"/>
    <s v="BrandC"/>
    <n v="67.66"/>
    <n v="21"/>
    <x v="0"/>
    <s v="Office Furniture"/>
  </r>
  <r>
    <s v="South"/>
    <n v="205.4"/>
    <n v="85"/>
    <s v="Online"/>
    <n v="48"/>
    <d v="2023-05-29T00:00:00"/>
    <x v="1"/>
    <s v="Smartphone Model 1"/>
    <s v="BrandC"/>
    <n v="285.64999999999998"/>
    <n v="1"/>
    <x v="2"/>
    <s v="Smartphone"/>
  </r>
  <r>
    <s v="South"/>
    <n v="262.58"/>
    <n v="86"/>
    <s v="Marketplace"/>
    <n v="18"/>
    <d v="2023-01-09T00:00:00"/>
    <x v="1"/>
    <s v="Tablet Model 2"/>
    <s v="BrandB"/>
    <n v="184.01"/>
    <n v="6"/>
    <x v="3"/>
    <s v="Tablet"/>
  </r>
  <r>
    <s v="South"/>
    <n v="367.84"/>
    <n v="87"/>
    <s v="In-store"/>
    <n v="40"/>
    <d v="2023-04-09T00:00:00"/>
    <x v="4"/>
    <s v="Outdoor Model 2"/>
    <s v="BrandA"/>
    <n v="21.27"/>
    <n v="16"/>
    <x v="0"/>
    <s v="Outdoor"/>
  </r>
  <r>
    <s v="Central"/>
    <n v="110.47"/>
    <n v="88"/>
    <s v="Sales agent"/>
    <n v="12"/>
    <d v="2023-03-31T00:00:00"/>
    <x v="0"/>
    <s v="Stationery Model 2"/>
    <s v="BrandC"/>
    <n v="170.2"/>
    <n v="20"/>
    <x v="4"/>
    <s v="Stationery"/>
  </r>
  <r>
    <s v="Islands"/>
    <n v="279.67"/>
    <n v="89"/>
    <s v="Sales agent"/>
    <n v="35"/>
    <d v="2023-07-05T00:00:00"/>
    <x v="0"/>
    <s v="Office Furniture Model 2"/>
    <s v="BrandA"/>
    <n v="59.72"/>
    <n v="22"/>
    <x v="3"/>
    <s v="Office Furniture"/>
  </r>
  <r>
    <s v="Islands"/>
    <n v="455.01"/>
    <n v="90"/>
    <s v="In-store"/>
    <n v="34"/>
    <d v="2023-02-14T00:00:00"/>
    <x v="0"/>
    <s v="Printers Model 1"/>
    <s v="BrandA"/>
    <n v="36.47"/>
    <n v="23"/>
    <x v="4"/>
    <s v="Printers"/>
  </r>
  <r>
    <s v="South"/>
    <n v="385.49"/>
    <n v="91"/>
    <s v="Marketplace"/>
    <n v="1"/>
    <d v="2023-03-19T00:00:00"/>
    <x v="0"/>
    <s v="Printers Model 2"/>
    <s v="BrandA"/>
    <n v="272.52"/>
    <n v="24"/>
    <x v="5"/>
    <s v="Printers"/>
  </r>
  <r>
    <s v="South"/>
    <n v="403.54"/>
    <n v="92"/>
    <s v="Sales agent"/>
    <n v="42"/>
    <d v="2023-08-30T00:00:00"/>
    <x v="0"/>
    <s v="Stationery Model 1"/>
    <s v="BrandB"/>
    <n v="73"/>
    <n v="19"/>
    <x v="2"/>
    <s v="Stationery"/>
  </r>
  <r>
    <s v="Islands"/>
    <n v="62.82"/>
    <n v="93"/>
    <s v="Sales agent"/>
    <n v="4"/>
    <d v="2023-02-02T00:00:00"/>
    <x v="0"/>
    <s v="Printers Model 1"/>
    <s v="BrandA"/>
    <n v="36.47"/>
    <n v="23"/>
    <x v="5"/>
    <s v="Printers"/>
  </r>
  <r>
    <s v="North"/>
    <n v="38.51"/>
    <n v="94"/>
    <s v="Sales agent"/>
    <n v="9"/>
    <d v="2023-03-10T00:00:00"/>
    <x v="2"/>
    <s v="Cleaning Model 2"/>
    <s v="BrandB"/>
    <n v="209.52"/>
    <n v="12"/>
    <x v="1"/>
    <s v="Cleaning"/>
  </r>
  <r>
    <s v="Central"/>
    <n v="493.98"/>
    <n v="95"/>
    <s v="Sales agent"/>
    <n v="5"/>
    <d v="2023-04-24T00:00:00"/>
    <x v="3"/>
    <s v=" "/>
    <s v=" "/>
    <s v=" "/>
    <n v="28"/>
    <x v="0"/>
    <s v=" "/>
  </r>
  <r>
    <s v="North"/>
    <n v="101.26"/>
    <n v="96"/>
    <s v="Sales agent"/>
    <n v="18"/>
    <d v="2023-05-14T00:00:00"/>
    <x v="1"/>
    <s v="Tablet Model 1"/>
    <s v="BrandD"/>
    <n v="55.43"/>
    <n v="5"/>
    <x v="1"/>
    <s v="Tablet"/>
  </r>
  <r>
    <s v="South"/>
    <n v="190.58"/>
    <n v="97"/>
    <s v="In-store"/>
    <n v="1"/>
    <d v="2023-05-30T00:00:00"/>
    <x v="1"/>
    <s v="Laptop Model 2"/>
    <s v="BrandB"/>
    <n v="65.05"/>
    <n v="4"/>
    <x v="0"/>
    <s v="Laptop"/>
  </r>
  <r>
    <s v="Central"/>
    <n v="280.18"/>
    <n v="98"/>
    <s v="Marketplace"/>
    <n v="27"/>
    <d v="2023-06-06T00:00:00"/>
    <x v="1"/>
    <s v="Laptop Model 2"/>
    <s v="BrandB"/>
    <n v="65.05"/>
    <n v="4"/>
    <x v="1"/>
    <s v="Laptop"/>
  </r>
  <r>
    <s v="North"/>
    <n v="219.42"/>
    <n v="99"/>
    <s v="Online"/>
    <n v="45"/>
    <d v="2023-07-02T00:00:00"/>
    <x v="2"/>
    <s v="Kitchen Model 2"/>
    <s v="BrandC"/>
    <n v="163.13999999999999"/>
    <n v="8"/>
    <x v="3"/>
    <s v="Kitchen"/>
  </r>
  <r>
    <s v="Central"/>
    <n v="446.5"/>
    <n v="100"/>
    <s v="Sales agent"/>
    <n v="25"/>
    <d v="2023-10-01T00:00:00"/>
    <x v="1"/>
    <s v="Tablet Model 1"/>
    <s v="BrandD"/>
    <n v="55.43"/>
    <n v="5"/>
    <x v="2"/>
    <s v="Tablet"/>
  </r>
  <r>
    <s v="South"/>
    <n v="267.14999999999998"/>
    <n v="101"/>
    <s v="Marketplace"/>
    <n v="48"/>
    <d v="2023-11-14T00:00:00"/>
    <x v="1"/>
    <s v="Laptop Model 2"/>
    <s v="BrandB"/>
    <n v="65.05"/>
    <n v="4"/>
    <x v="1"/>
    <s v="Laptop"/>
  </r>
  <r>
    <s v="Islands"/>
    <n v="299.27999999999997"/>
    <n v="102"/>
    <s v="In-store"/>
    <n v="44"/>
    <d v="2023-12-03T00:00:00"/>
    <x v="0"/>
    <s v="Office Furniture Model 1"/>
    <s v="BrandC"/>
    <n v="67.66"/>
    <n v="21"/>
    <x v="5"/>
    <s v="Office Furniture"/>
  </r>
  <r>
    <s v="South"/>
    <n v="6.98"/>
    <n v="103"/>
    <s v="Sales agent"/>
    <n v="27"/>
    <d v="2023-02-06T00:00:00"/>
    <x v="2"/>
    <s v="Kitchen Model 1"/>
    <s v="BrandB"/>
    <n v="27.76"/>
    <n v="7"/>
    <x v="4"/>
    <s v="Kitchen"/>
  </r>
  <r>
    <s v="South"/>
    <n v="450.62"/>
    <n v="104"/>
    <s v="Sales agent"/>
    <n v="33"/>
    <d v="2023-03-16T00:00:00"/>
    <x v="0"/>
    <s v="Office Furniture Model 2"/>
    <s v="BrandA"/>
    <n v="59.72"/>
    <n v="22"/>
    <x v="4"/>
    <s v="Office Furniture"/>
  </r>
  <r>
    <s v="Islands"/>
    <n v="446.41"/>
    <n v="105"/>
    <s v="Marketplace"/>
    <n v="37"/>
    <d v="2023-12-03T00:00:00"/>
    <x v="1"/>
    <s v="Smartphone Model 1"/>
    <s v="BrandC"/>
    <n v="285.64999999999998"/>
    <n v="1"/>
    <x v="3"/>
    <s v="Smartphone"/>
  </r>
  <r>
    <s v="North"/>
    <n v="323.91000000000003"/>
    <n v="106"/>
    <s v="Marketplace"/>
    <n v="35"/>
    <d v="2023-09-17T00:00:00"/>
    <x v="1"/>
    <s v="Laptop Model 2"/>
    <s v="BrandB"/>
    <n v="65.05"/>
    <n v="4"/>
    <x v="1"/>
    <s v="Laptop"/>
  </r>
  <r>
    <s v="North"/>
    <n v="358.87"/>
    <n v="107"/>
    <s v="Online"/>
    <n v="27"/>
    <d v="2023-11-10T00:00:00"/>
    <x v="0"/>
    <s v="Office Furniture Model 1"/>
    <s v="BrandC"/>
    <n v="67.66"/>
    <n v="21"/>
    <x v="3"/>
    <s v="Office Furniture"/>
  </r>
  <r>
    <s v="Islands"/>
    <n v="342.09"/>
    <n v="108"/>
    <s v="In-store"/>
    <n v="31"/>
    <d v="2023-06-04T00:00:00"/>
    <x v="3"/>
    <s v=" "/>
    <s v=" "/>
    <s v=" "/>
    <n v="26"/>
    <x v="0"/>
    <s v=" "/>
  </r>
  <r>
    <s v="North"/>
    <n v="364.21"/>
    <n v="109"/>
    <s v="Online"/>
    <n v="12"/>
    <d v="2023-05-22T00:00:00"/>
    <x v="0"/>
    <s v="Stationery Model 2"/>
    <s v="BrandC"/>
    <n v="170.2"/>
    <n v="20"/>
    <x v="4"/>
    <s v="Stationery"/>
  </r>
  <r>
    <s v="Islands"/>
    <n v="426.67"/>
    <n v="110"/>
    <s v="In-store"/>
    <n v="48"/>
    <d v="2023-08-15T00:00:00"/>
    <x v="2"/>
    <s v="Kitchen Model 1"/>
    <s v="BrandB"/>
    <n v="27.76"/>
    <n v="7"/>
    <x v="3"/>
    <s v="Kitchen"/>
  </r>
  <r>
    <s v="Central"/>
    <n v="247.29"/>
    <n v="111"/>
    <s v="Marketplace"/>
    <n v="16"/>
    <d v="2023-05-27T00:00:00"/>
    <x v="2"/>
    <s v="Furniture Model 2"/>
    <s v="BrandD"/>
    <n v="3.75"/>
    <n v="10"/>
    <x v="3"/>
    <s v="Furniture"/>
  </r>
  <r>
    <s v="Islands"/>
    <n v="327.14"/>
    <n v="112"/>
    <s v="Sales agent"/>
    <n v="3"/>
    <d v="2023-03-16T00:00:00"/>
    <x v="1"/>
    <s v="Laptop Model 1"/>
    <s v="BrandB"/>
    <n v="251.46"/>
    <n v="3"/>
    <x v="1"/>
    <s v="Laptop"/>
  </r>
  <r>
    <s v="South"/>
    <n v="10.94"/>
    <n v="113"/>
    <s v="Marketplace"/>
    <n v="15"/>
    <d v="2023-09-18T00:00:00"/>
    <x v="0"/>
    <s v="Stationery Model 2"/>
    <s v="BrandC"/>
    <n v="170.2"/>
    <n v="20"/>
    <x v="5"/>
    <s v="Stationery"/>
  </r>
  <r>
    <s v="North"/>
    <n v="7.12"/>
    <n v="114"/>
    <s v="Sales agent"/>
    <n v="49"/>
    <d v="2023-06-03T00:00:00"/>
    <x v="0"/>
    <s v="Stationery Model 2"/>
    <s v="BrandC"/>
    <n v="170.2"/>
    <n v="20"/>
    <x v="2"/>
    <s v="Stationery"/>
  </r>
  <r>
    <s v="Islands"/>
    <n v="89.93"/>
    <n v="115"/>
    <s v="Online"/>
    <n v="43"/>
    <d v="2023-04-12T00:00:00"/>
    <x v="4"/>
    <s v="Clothing Model 1"/>
    <s v="BrandD"/>
    <n v="111.57"/>
    <n v="17"/>
    <x v="5"/>
    <s v="Clothing"/>
  </r>
  <r>
    <s v="South"/>
    <n v="403.39"/>
    <n v="116"/>
    <s v="Marketplace"/>
    <n v="33"/>
    <d v="2023-10-11T00:00:00"/>
    <x v="4"/>
    <s v="Outdoor Model 2"/>
    <s v="BrandA"/>
    <n v="21.27"/>
    <n v="16"/>
    <x v="2"/>
    <s v="Outdoor"/>
  </r>
  <r>
    <s v="North"/>
    <n v="171"/>
    <n v="117"/>
    <s v="Online"/>
    <n v="42"/>
    <d v="2023-06-17T00:00:00"/>
    <x v="2"/>
    <s v="Furniture Model 2"/>
    <s v="BrandD"/>
    <n v="3.75"/>
    <n v="10"/>
    <x v="0"/>
    <s v="Furniture"/>
  </r>
  <r>
    <s v="North"/>
    <n v="493.78"/>
    <n v="118"/>
    <s v="Marketplace"/>
    <n v="1"/>
    <d v="2023-11-04T00:00:00"/>
    <x v="3"/>
    <s v=" "/>
    <s v=" "/>
    <s v=" "/>
    <n v="25"/>
    <x v="1"/>
    <s v=" "/>
  </r>
  <r>
    <s v="Islands"/>
    <n v="151.83000000000001"/>
    <n v="119"/>
    <s v="Marketplace"/>
    <n v="12"/>
    <d v="2023-01-16T00:00:00"/>
    <x v="1"/>
    <s v="Laptop Model 1"/>
    <s v="BrandB"/>
    <n v="251.46"/>
    <n v="3"/>
    <x v="1"/>
    <s v="Laptop"/>
  </r>
  <r>
    <s v="North"/>
    <n v="212.68"/>
    <n v="120"/>
    <s v="Sales agent"/>
    <n v="41"/>
    <d v="2023-07-28T00:00:00"/>
    <x v="4"/>
    <s v="Outdoor Model 1"/>
    <s v="BrandD"/>
    <n v="223.53"/>
    <n v="15"/>
    <x v="3"/>
    <s v="Outdoor"/>
  </r>
  <r>
    <s v="South"/>
    <n v="426.28"/>
    <n v="121"/>
    <s v="Sales agent"/>
    <n v="39"/>
    <d v="2023-01-27T00:00:00"/>
    <x v="1"/>
    <s v="Laptop Model 2"/>
    <s v="BrandB"/>
    <n v="65.05"/>
    <n v="4"/>
    <x v="5"/>
    <s v="Laptop"/>
  </r>
  <r>
    <s v="Islands"/>
    <n v="58.29"/>
    <n v="122"/>
    <s v="Online"/>
    <n v="6"/>
    <d v="2023-08-28T00:00:00"/>
    <x v="2"/>
    <s v="Cleaning Model 1"/>
    <s v="BrandD"/>
    <n v="191.61"/>
    <n v="11"/>
    <x v="1"/>
    <s v="Cleaning"/>
  </r>
  <r>
    <s v="North"/>
    <n v="320.14"/>
    <n v="123"/>
    <s v="In-store"/>
    <n v="47"/>
    <d v="2023-10-10T00:00:00"/>
    <x v="1"/>
    <s v="Tablet Model 2"/>
    <s v="BrandB"/>
    <n v="184.01"/>
    <n v="6"/>
    <x v="4"/>
    <s v="Tablet"/>
  </r>
  <r>
    <s v="North"/>
    <n v="357.91"/>
    <n v="124"/>
    <s v="In-store"/>
    <n v="13"/>
    <d v="2023-04-26T00:00:00"/>
    <x v="0"/>
    <s v="Office Furniture Model 2"/>
    <s v="BrandA"/>
    <n v="59.72"/>
    <n v="22"/>
    <x v="4"/>
    <s v="Office Furniture"/>
  </r>
  <r>
    <s v="Islands"/>
    <n v="402.48"/>
    <n v="125"/>
    <s v="Sales agent"/>
    <n v="43"/>
    <d v="2023-02-21T00:00:00"/>
    <x v="2"/>
    <s v="Kitchen Model 1"/>
    <s v="BrandB"/>
    <n v="27.76"/>
    <n v="7"/>
    <x v="4"/>
    <s v="Kitchen"/>
  </r>
  <r>
    <s v="North"/>
    <n v="301.77"/>
    <n v="126"/>
    <s v="Sales agent"/>
    <n v="3"/>
    <d v="2023-11-25T00:00:00"/>
    <x v="2"/>
    <s v="Cleaning Model 1"/>
    <s v="BrandD"/>
    <n v="191.61"/>
    <n v="11"/>
    <x v="4"/>
    <s v="Cleaning"/>
  </r>
  <r>
    <s v="Central"/>
    <n v="342.66"/>
    <n v="127"/>
    <s v="Online"/>
    <n v="46"/>
    <d v="2023-12-05T00:00:00"/>
    <x v="4"/>
    <s v="Outdoor Model 1"/>
    <s v="BrandD"/>
    <n v="223.53"/>
    <n v="15"/>
    <x v="4"/>
    <s v="Outdoor"/>
  </r>
  <r>
    <s v="Central"/>
    <n v="214.22"/>
    <n v="128"/>
    <s v="In-store"/>
    <n v="44"/>
    <d v="2023-11-14T00:00:00"/>
    <x v="3"/>
    <s v=" "/>
    <s v=" "/>
    <s v=" "/>
    <n v="26"/>
    <x v="3"/>
    <s v=" "/>
  </r>
  <r>
    <s v="Islands"/>
    <n v="453.4"/>
    <n v="129"/>
    <s v="Marketplace"/>
    <n v="33"/>
    <d v="2023-09-14T00:00:00"/>
    <x v="1"/>
    <s v="Smartphone Model 1"/>
    <s v="BrandC"/>
    <n v="285.64999999999998"/>
    <n v="1"/>
    <x v="3"/>
    <s v="Smartphone"/>
  </r>
  <r>
    <s v="South"/>
    <n v="416.59"/>
    <n v="130"/>
    <s v="In-store"/>
    <n v="44"/>
    <d v="2023-02-17T00:00:00"/>
    <x v="4"/>
    <s v="Outdoor Model 1"/>
    <s v="BrandD"/>
    <n v="223.53"/>
    <n v="15"/>
    <x v="3"/>
    <s v="Outdoor"/>
  </r>
  <r>
    <s v="Islands"/>
    <n v="124.02"/>
    <n v="131"/>
    <s v="Sales agent"/>
    <n v="19"/>
    <d v="2023-07-26T00:00:00"/>
    <x v="1"/>
    <s v="Laptop Model 2"/>
    <s v="BrandB"/>
    <n v="65.05"/>
    <n v="4"/>
    <x v="5"/>
    <s v="Laptop"/>
  </r>
  <r>
    <s v="South"/>
    <n v="81.89"/>
    <n v="132"/>
    <s v="Marketplace"/>
    <n v="17"/>
    <d v="2023-07-08T00:00:00"/>
    <x v="3"/>
    <s v=" "/>
    <s v=" "/>
    <s v=" "/>
    <n v="29"/>
    <x v="1"/>
    <s v=" "/>
  </r>
  <r>
    <s v="South"/>
    <n v="265"/>
    <n v="133"/>
    <s v="Sales agent"/>
    <n v="37"/>
    <d v="2023-02-17T00:00:00"/>
    <x v="2"/>
    <s v="Cleaning Model 1"/>
    <s v="BrandD"/>
    <n v="191.61"/>
    <n v="11"/>
    <x v="0"/>
    <s v="Cleaning"/>
  </r>
  <r>
    <s v="South"/>
    <n v="261.13"/>
    <n v="134"/>
    <s v="Marketplace"/>
    <n v="36"/>
    <d v="2023-05-18T00:00:00"/>
    <x v="4"/>
    <s v="Outdoor Model 2"/>
    <s v="BrandA"/>
    <n v="21.27"/>
    <n v="16"/>
    <x v="3"/>
    <s v="Outdoor"/>
  </r>
  <r>
    <s v="Central"/>
    <n v="111.09"/>
    <n v="135"/>
    <s v="Marketplace"/>
    <n v="34"/>
    <d v="2023-11-26T00:00:00"/>
    <x v="1"/>
    <s v="Tablet Model 2"/>
    <s v="BrandB"/>
    <n v="184.01"/>
    <n v="6"/>
    <x v="4"/>
    <s v="Tablet"/>
  </r>
  <r>
    <s v="South"/>
    <n v="306.39"/>
    <n v="136"/>
    <s v="Marketplace"/>
    <n v="3"/>
    <d v="2023-12-23T00:00:00"/>
    <x v="2"/>
    <s v="Furniture Model 1"/>
    <s v="BrandD"/>
    <n v="7.21"/>
    <n v="9"/>
    <x v="1"/>
    <s v="Furniture"/>
  </r>
  <r>
    <s v="South"/>
    <n v="336.42"/>
    <n v="137"/>
    <s v="Online"/>
    <n v="17"/>
    <d v="2023-09-10T00:00:00"/>
    <x v="3"/>
    <s v=" "/>
    <s v=" "/>
    <s v=" "/>
    <n v="25"/>
    <x v="0"/>
    <s v=" "/>
  </r>
  <r>
    <s v="North"/>
    <n v="207.49"/>
    <n v="138"/>
    <s v="In-store"/>
    <n v="36"/>
    <d v="2023-09-08T00:00:00"/>
    <x v="1"/>
    <s v="Tablet Model 1"/>
    <s v="BrandD"/>
    <n v="55.43"/>
    <n v="5"/>
    <x v="4"/>
    <s v="Tablet"/>
  </r>
  <r>
    <s v="Islands"/>
    <n v="163.26"/>
    <n v="139"/>
    <s v="In-store"/>
    <n v="22"/>
    <d v="2023-09-30T00:00:00"/>
    <x v="2"/>
    <s v="Kitchen Model 2"/>
    <s v="BrandC"/>
    <n v="163.13999999999999"/>
    <n v="8"/>
    <x v="3"/>
    <s v="Kitchen"/>
  </r>
  <r>
    <s v="South"/>
    <n v="54.36"/>
    <n v="140"/>
    <s v="Online"/>
    <n v="21"/>
    <d v="2023-12-26T00:00:00"/>
    <x v="2"/>
    <s v="Furniture Model 1"/>
    <s v="BrandD"/>
    <n v="7.21"/>
    <n v="9"/>
    <x v="3"/>
    <s v="Furniture"/>
  </r>
  <r>
    <s v="North"/>
    <n v="390.5"/>
    <n v="141"/>
    <s v="Online"/>
    <n v="17"/>
    <d v="2023-12-20T00:00:00"/>
    <x v="0"/>
    <s v="Printers Model 2"/>
    <s v="BrandA"/>
    <n v="272.52"/>
    <n v="24"/>
    <x v="0"/>
    <s v="Printers"/>
  </r>
  <r>
    <s v="Central"/>
    <n v="399.95"/>
    <n v="142"/>
    <s v="Marketplace"/>
    <n v="47"/>
    <d v="2023-04-08T00:00:00"/>
    <x v="4"/>
    <s v="Fitness Model 2"/>
    <s v="BrandA"/>
    <n v="63.68"/>
    <n v="14"/>
    <x v="5"/>
    <s v="Fitness"/>
  </r>
  <r>
    <s v="Central"/>
    <n v="332"/>
    <n v="143"/>
    <s v="In-store"/>
    <n v="22"/>
    <d v="2023-04-29T00:00:00"/>
    <x v="1"/>
    <s v="Smartphone Model 2"/>
    <s v="BrandB"/>
    <n v="43.27"/>
    <n v="2"/>
    <x v="5"/>
    <s v="Smartphone"/>
  </r>
  <r>
    <s v="Central"/>
    <n v="394.03"/>
    <n v="144"/>
    <s v="Sales agent"/>
    <n v="20"/>
    <d v="2023-08-06T00:00:00"/>
    <x v="1"/>
    <s v="Laptop Model 1"/>
    <s v="BrandB"/>
    <n v="251.46"/>
    <n v="3"/>
    <x v="4"/>
    <s v="Laptop"/>
  </r>
  <r>
    <s v="South"/>
    <n v="159.82"/>
    <n v="145"/>
    <s v="In-store"/>
    <n v="34"/>
    <d v="2023-09-05T00:00:00"/>
    <x v="2"/>
    <s v="Cleaning Model 2"/>
    <s v="BrandB"/>
    <n v="209.52"/>
    <n v="12"/>
    <x v="5"/>
    <s v="Cleaning"/>
  </r>
  <r>
    <s v="South"/>
    <n v="479.46"/>
    <n v="146"/>
    <s v="Sales agent"/>
    <n v="37"/>
    <d v="2023-02-05T00:00:00"/>
    <x v="2"/>
    <s v="Furniture Model 1"/>
    <s v="BrandD"/>
    <n v="7.21"/>
    <n v="9"/>
    <x v="5"/>
    <s v="Furniture"/>
  </r>
  <r>
    <s v="South"/>
    <n v="373.44"/>
    <n v="147"/>
    <s v="Online"/>
    <n v="9"/>
    <d v="2023-10-23T00:00:00"/>
    <x v="2"/>
    <s v="Cleaning Model 2"/>
    <s v="BrandB"/>
    <n v="209.52"/>
    <n v="12"/>
    <x v="3"/>
    <s v="Cleaning"/>
  </r>
  <r>
    <s v="Islands"/>
    <n v="431.79"/>
    <n v="148"/>
    <s v="Online"/>
    <n v="4"/>
    <d v="2023-07-09T00:00:00"/>
    <x v="4"/>
    <s v="Outdoor Model 2"/>
    <s v="BrandA"/>
    <n v="21.27"/>
    <n v="16"/>
    <x v="1"/>
    <s v="Outdoor"/>
  </r>
  <r>
    <s v="North"/>
    <n v="451.23"/>
    <n v="149"/>
    <s v="Sales agent"/>
    <n v="19"/>
    <d v="2023-10-25T00:00:00"/>
    <x v="3"/>
    <s v=" "/>
    <s v=" "/>
    <s v=" "/>
    <n v="30"/>
    <x v="1"/>
    <s v=" "/>
  </r>
  <r>
    <s v="Central"/>
    <n v="64.61"/>
    <n v="150"/>
    <s v="Sales agent"/>
    <n v="19"/>
    <d v="2023-05-23T00:00:00"/>
    <x v="2"/>
    <s v="Kitchen Model 2"/>
    <s v="BrandC"/>
    <n v="163.13999999999999"/>
    <n v="8"/>
    <x v="1"/>
    <s v="Kitchen"/>
  </r>
  <r>
    <s v="South"/>
    <n v="138.86000000000001"/>
    <n v="151"/>
    <s v="Sales agent"/>
    <n v="26"/>
    <d v="2023-07-03T00:00:00"/>
    <x v="0"/>
    <s v="Office Furniture Model 2"/>
    <s v="BrandA"/>
    <n v="59.72"/>
    <n v="22"/>
    <x v="5"/>
    <s v="Office Furniture"/>
  </r>
  <r>
    <s v="Islands"/>
    <n v="246.29"/>
    <n v="152"/>
    <s v="In-store"/>
    <n v="25"/>
    <d v="2023-12-18T00:00:00"/>
    <x v="3"/>
    <s v=" "/>
    <s v=" "/>
    <s v=" "/>
    <n v="25"/>
    <x v="3"/>
    <s v=" "/>
  </r>
  <r>
    <s v="Islands"/>
    <n v="460.13"/>
    <n v="153"/>
    <s v="Marketplace"/>
    <n v="22"/>
    <d v="2023-03-23T00:00:00"/>
    <x v="4"/>
    <s v="Clothing Model 1"/>
    <s v="BrandD"/>
    <n v="111.57"/>
    <n v="17"/>
    <x v="5"/>
    <s v="Clothing"/>
  </r>
  <r>
    <s v="Islands"/>
    <n v="465.57"/>
    <n v="154"/>
    <s v="In-store"/>
    <n v="35"/>
    <d v="2023-01-01T00:00:00"/>
    <x v="3"/>
    <s v=" "/>
    <s v=" "/>
    <s v=" "/>
    <n v="25"/>
    <x v="0"/>
    <s v=" "/>
  </r>
  <r>
    <s v="South"/>
    <n v="34.270000000000003"/>
    <n v="155"/>
    <s v="Marketplace"/>
    <n v="13"/>
    <d v="2023-02-01T00:00:00"/>
    <x v="2"/>
    <s v="Furniture Model 2"/>
    <s v="BrandD"/>
    <n v="3.75"/>
    <n v="10"/>
    <x v="0"/>
    <s v="Furniture"/>
  </r>
  <r>
    <s v="Islands"/>
    <n v="354.58"/>
    <n v="156"/>
    <s v="Online"/>
    <n v="22"/>
    <d v="2023-01-04T00:00:00"/>
    <x v="2"/>
    <s v="Kitchen Model 2"/>
    <s v="BrandC"/>
    <n v="163.13999999999999"/>
    <n v="8"/>
    <x v="5"/>
    <s v="Kitchen"/>
  </r>
  <r>
    <s v="Islands"/>
    <n v="410.1"/>
    <n v="157"/>
    <s v="Marketplace"/>
    <n v="18"/>
    <d v="2023-09-03T00:00:00"/>
    <x v="1"/>
    <s v="Tablet Model 1"/>
    <s v="BrandD"/>
    <n v="55.43"/>
    <n v="5"/>
    <x v="4"/>
    <s v="Tablet"/>
  </r>
  <r>
    <s v="Central"/>
    <n v="293.14999999999998"/>
    <n v="158"/>
    <s v="In-store"/>
    <n v="29"/>
    <d v="2023-02-02T00:00:00"/>
    <x v="4"/>
    <s v="Fitness Model 2"/>
    <s v="BrandA"/>
    <n v="63.68"/>
    <n v="14"/>
    <x v="2"/>
    <s v="Fitness"/>
  </r>
  <r>
    <s v="North"/>
    <n v="386.25"/>
    <n v="159"/>
    <s v="Marketplace"/>
    <n v="17"/>
    <d v="2023-12-15T00:00:00"/>
    <x v="4"/>
    <s v="Fitness Model 1"/>
    <s v="BrandB"/>
    <n v="227.4"/>
    <n v="13"/>
    <x v="3"/>
    <s v="Fitness"/>
  </r>
  <r>
    <s v="Central"/>
    <n v="391.17"/>
    <n v="160"/>
    <s v="Online"/>
    <n v="23"/>
    <d v="2023-02-06T00:00:00"/>
    <x v="0"/>
    <s v="Stationery Model 2"/>
    <s v="BrandC"/>
    <n v="170.2"/>
    <n v="20"/>
    <x v="5"/>
    <s v="Stationery"/>
  </r>
  <r>
    <s v="North"/>
    <n v="276.5"/>
    <n v="161"/>
    <s v="In-store"/>
    <n v="13"/>
    <d v="2023-02-09T00:00:00"/>
    <x v="3"/>
    <s v=" "/>
    <s v=" "/>
    <s v=" "/>
    <n v="26"/>
    <x v="1"/>
    <s v=" "/>
  </r>
  <r>
    <s v="South"/>
    <n v="207.46"/>
    <n v="162"/>
    <s v="In-store"/>
    <n v="8"/>
    <d v="2023-11-07T00:00:00"/>
    <x v="3"/>
    <s v=" "/>
    <s v=" "/>
    <s v=" "/>
    <n v="28"/>
    <x v="3"/>
    <s v=" "/>
  </r>
  <r>
    <s v="South"/>
    <n v="367.66"/>
    <n v="163"/>
    <s v="Online"/>
    <n v="4"/>
    <d v="2023-12-01T00:00:00"/>
    <x v="3"/>
    <s v=" "/>
    <s v=" "/>
    <s v=" "/>
    <n v="26"/>
    <x v="3"/>
    <s v=" "/>
  </r>
  <r>
    <s v="Islands"/>
    <n v="164.42"/>
    <n v="164"/>
    <s v="Marketplace"/>
    <n v="38"/>
    <d v="2023-03-28T00:00:00"/>
    <x v="3"/>
    <s v=" "/>
    <s v=" "/>
    <s v=" "/>
    <n v="25"/>
    <x v="4"/>
    <s v=" "/>
  </r>
  <r>
    <s v="South"/>
    <n v="148.21"/>
    <n v="165"/>
    <s v="Online"/>
    <n v="31"/>
    <d v="2023-04-10T00:00:00"/>
    <x v="0"/>
    <s v="Printers Model 1"/>
    <s v="BrandA"/>
    <n v="36.47"/>
    <n v="23"/>
    <x v="0"/>
    <s v="Printers"/>
  </r>
  <r>
    <s v="North"/>
    <n v="355.51"/>
    <n v="166"/>
    <s v="Marketplace"/>
    <n v="6"/>
    <d v="2023-01-21T00:00:00"/>
    <x v="2"/>
    <s v="Kitchen Model 1"/>
    <s v="BrandB"/>
    <n v="27.76"/>
    <n v="7"/>
    <x v="1"/>
    <s v="Kitchen"/>
  </r>
  <r>
    <s v="Central"/>
    <n v="116.6"/>
    <n v="167"/>
    <s v="Sales agent"/>
    <n v="9"/>
    <d v="2023-03-13T00:00:00"/>
    <x v="0"/>
    <s v="Stationery Model 1"/>
    <s v="BrandB"/>
    <n v="73"/>
    <n v="19"/>
    <x v="4"/>
    <s v="Stationery"/>
  </r>
  <r>
    <s v="Central"/>
    <n v="262.25"/>
    <n v="168"/>
    <s v="Marketplace"/>
    <n v="25"/>
    <d v="2023-04-07T00:00:00"/>
    <x v="1"/>
    <s v="Smartphone Model 2"/>
    <s v="BrandB"/>
    <n v="43.27"/>
    <n v="2"/>
    <x v="2"/>
    <s v="Smartphone"/>
  </r>
  <r>
    <s v="Islands"/>
    <n v="476.36"/>
    <n v="169"/>
    <s v="Marketplace"/>
    <n v="10"/>
    <d v="2023-08-05T00:00:00"/>
    <x v="3"/>
    <s v=" "/>
    <s v=" "/>
    <s v=" "/>
    <n v="30"/>
    <x v="3"/>
    <s v=" "/>
  </r>
  <r>
    <s v="South"/>
    <n v="30.79"/>
    <n v="170"/>
    <s v="Online"/>
    <n v="30"/>
    <d v="2023-11-20T00:00:00"/>
    <x v="1"/>
    <s v="Tablet Model 1"/>
    <s v="BrandD"/>
    <n v="55.43"/>
    <n v="5"/>
    <x v="4"/>
    <s v="Tablet"/>
  </r>
  <r>
    <s v="North"/>
    <n v="401.75"/>
    <n v="171"/>
    <s v="Sales agent"/>
    <n v="35"/>
    <d v="2023-12-24T00:00:00"/>
    <x v="1"/>
    <s v="Smartphone Model 1"/>
    <s v="BrandC"/>
    <n v="285.64999999999998"/>
    <n v="1"/>
    <x v="4"/>
    <s v="Smartphone"/>
  </r>
  <r>
    <s v="North"/>
    <n v="259.69"/>
    <n v="172"/>
    <s v="Marketplace"/>
    <n v="21"/>
    <d v="2023-06-09T00:00:00"/>
    <x v="3"/>
    <s v=" "/>
    <s v=" "/>
    <s v=" "/>
    <n v="26"/>
    <x v="0"/>
    <s v=" "/>
  </r>
  <r>
    <s v="Islands"/>
    <n v="320.47000000000003"/>
    <n v="173"/>
    <s v="Online"/>
    <n v="5"/>
    <d v="2023-05-11T00:00:00"/>
    <x v="3"/>
    <s v=" "/>
    <s v=" "/>
    <s v=" "/>
    <n v="28"/>
    <x v="2"/>
    <s v=" "/>
  </r>
  <r>
    <s v="Central"/>
    <n v="449.3"/>
    <n v="174"/>
    <s v="Marketplace"/>
    <n v="24"/>
    <d v="2023-05-27T00:00:00"/>
    <x v="0"/>
    <s v="Office Furniture Model 2"/>
    <s v="BrandA"/>
    <n v="59.72"/>
    <n v="22"/>
    <x v="0"/>
    <s v="Office Furniture"/>
  </r>
  <r>
    <s v="Islands"/>
    <n v="398.56"/>
    <n v="175"/>
    <s v="In-store"/>
    <n v="49"/>
    <d v="2023-04-30T00:00:00"/>
    <x v="2"/>
    <s v="Furniture Model 2"/>
    <s v="BrandD"/>
    <n v="3.75"/>
    <n v="10"/>
    <x v="5"/>
    <s v="Furniture"/>
  </r>
  <r>
    <s v="South"/>
    <n v="33.520000000000003"/>
    <n v="176"/>
    <s v="In-store"/>
    <n v="38"/>
    <d v="2023-12-09T00:00:00"/>
    <x v="2"/>
    <s v="Furniture Model 1"/>
    <s v="BrandD"/>
    <n v="7.21"/>
    <n v="9"/>
    <x v="4"/>
    <s v="Furniture"/>
  </r>
  <r>
    <s v="North"/>
    <n v="449.22"/>
    <n v="177"/>
    <s v="Marketplace"/>
    <n v="37"/>
    <d v="2023-12-29T00:00:00"/>
    <x v="1"/>
    <s v="Laptop Model 2"/>
    <s v="BrandB"/>
    <n v="65.05"/>
    <n v="4"/>
    <x v="5"/>
    <s v="Laptop"/>
  </r>
  <r>
    <s v="Islands"/>
    <n v="419.37"/>
    <n v="178"/>
    <s v="Online"/>
    <n v="18"/>
    <d v="2023-02-25T00:00:00"/>
    <x v="4"/>
    <s v="Fitness Model 2"/>
    <s v="BrandA"/>
    <n v="63.68"/>
    <n v="14"/>
    <x v="3"/>
    <s v="Fitness"/>
  </r>
  <r>
    <s v="Central"/>
    <n v="377.45"/>
    <n v="179"/>
    <s v="Online"/>
    <n v="17"/>
    <d v="2023-08-30T00:00:00"/>
    <x v="1"/>
    <s v="Tablet Model 1"/>
    <s v="BrandD"/>
    <n v="55.43"/>
    <n v="5"/>
    <x v="5"/>
    <s v="Tablet"/>
  </r>
  <r>
    <s v="North"/>
    <n v="73.86"/>
    <n v="180"/>
    <s v="In-store"/>
    <n v="21"/>
    <d v="2023-05-10T00:00:00"/>
    <x v="4"/>
    <s v="Fitness Model 2"/>
    <s v="BrandA"/>
    <n v="63.68"/>
    <n v="14"/>
    <x v="3"/>
    <s v="Fitness"/>
  </r>
  <r>
    <s v="South"/>
    <n v="403.7"/>
    <n v="181"/>
    <s v="Online"/>
    <n v="3"/>
    <d v="2023-11-04T00:00:00"/>
    <x v="3"/>
    <s v=" "/>
    <s v=" "/>
    <s v=" "/>
    <n v="28"/>
    <x v="3"/>
    <s v=" "/>
  </r>
  <r>
    <s v="Central"/>
    <n v="159.55000000000001"/>
    <n v="182"/>
    <s v="Online"/>
    <n v="36"/>
    <d v="2023-02-24T00:00:00"/>
    <x v="4"/>
    <s v="Clothing Model 2"/>
    <s v="BrandB"/>
    <n v="247.45"/>
    <n v="18"/>
    <x v="1"/>
    <s v="Clothing"/>
  </r>
  <r>
    <s v="North"/>
    <n v="497.2"/>
    <n v="183"/>
    <s v="Sales agent"/>
    <n v="37"/>
    <d v="2023-08-14T00:00:00"/>
    <x v="3"/>
    <s v=" "/>
    <s v=" "/>
    <s v=" "/>
    <n v="25"/>
    <x v="3"/>
    <s v=" "/>
  </r>
  <r>
    <s v="South"/>
    <n v="192.73"/>
    <n v="184"/>
    <s v="In-store"/>
    <n v="8"/>
    <d v="2023-09-10T00:00:00"/>
    <x v="1"/>
    <s v="Tablet Model 1"/>
    <s v="BrandD"/>
    <n v="55.43"/>
    <n v="5"/>
    <x v="0"/>
    <s v="Tablet"/>
  </r>
  <r>
    <s v="North"/>
    <n v="95.47"/>
    <n v="185"/>
    <s v="In-store"/>
    <n v="38"/>
    <d v="2023-11-04T00:00:00"/>
    <x v="4"/>
    <s v="Outdoor Model 2"/>
    <s v="BrandA"/>
    <n v="21.27"/>
    <n v="16"/>
    <x v="1"/>
    <s v="Outdoor"/>
  </r>
  <r>
    <s v="North"/>
    <n v="148.85"/>
    <n v="186"/>
    <s v="Online"/>
    <n v="27"/>
    <d v="2023-02-14T00:00:00"/>
    <x v="1"/>
    <s v="Laptop Model 2"/>
    <s v="BrandB"/>
    <n v="65.05"/>
    <n v="4"/>
    <x v="4"/>
    <s v="Laptop"/>
  </r>
  <r>
    <s v="Central"/>
    <n v="60.65"/>
    <n v="187"/>
    <s v="Marketplace"/>
    <n v="31"/>
    <d v="2023-03-21T00:00:00"/>
    <x v="1"/>
    <s v="Smartphone Model 1"/>
    <s v="BrandC"/>
    <n v="285.64999999999998"/>
    <n v="1"/>
    <x v="1"/>
    <s v="Smartphone"/>
  </r>
  <r>
    <s v="Islands"/>
    <n v="95.82"/>
    <n v="188"/>
    <s v="Sales agent"/>
    <n v="17"/>
    <d v="2023-03-19T00:00:00"/>
    <x v="2"/>
    <s v="Kitchen Model 2"/>
    <s v="BrandC"/>
    <n v="163.13999999999999"/>
    <n v="8"/>
    <x v="3"/>
    <s v="Kitchen"/>
  </r>
  <r>
    <s v="South"/>
    <n v="78.17"/>
    <n v="189"/>
    <s v="Online"/>
    <n v="38"/>
    <d v="2023-09-07T00:00:00"/>
    <x v="2"/>
    <s v="Kitchen Model 2"/>
    <s v="BrandC"/>
    <n v="163.13999999999999"/>
    <n v="8"/>
    <x v="1"/>
    <s v="Kitchen"/>
  </r>
  <r>
    <s v="Islands"/>
    <n v="113.7"/>
    <n v="190"/>
    <s v="Sales agent"/>
    <n v="12"/>
    <d v="2023-02-03T00:00:00"/>
    <x v="1"/>
    <s v="Tablet Model 1"/>
    <s v="BrandD"/>
    <n v="55.43"/>
    <n v="5"/>
    <x v="1"/>
    <s v="Tablet"/>
  </r>
  <r>
    <s v="South"/>
    <n v="204.16"/>
    <n v="191"/>
    <s v="In-store"/>
    <n v="47"/>
    <d v="2023-10-30T00:00:00"/>
    <x v="1"/>
    <s v="Laptop Model 1"/>
    <s v="BrandB"/>
    <n v="251.46"/>
    <n v="3"/>
    <x v="4"/>
    <s v="Laptop"/>
  </r>
  <r>
    <s v="North"/>
    <n v="71.47"/>
    <n v="192"/>
    <s v="Sales agent"/>
    <n v="20"/>
    <d v="2023-03-06T00:00:00"/>
    <x v="3"/>
    <s v=" "/>
    <s v=" "/>
    <s v=" "/>
    <n v="28"/>
    <x v="3"/>
    <s v=" "/>
  </r>
  <r>
    <s v="Central"/>
    <n v="433.97"/>
    <n v="193"/>
    <s v="Sales agent"/>
    <n v="11"/>
    <d v="2023-09-16T00:00:00"/>
    <x v="4"/>
    <s v="Fitness Model 1"/>
    <s v="BrandB"/>
    <n v="227.4"/>
    <n v="13"/>
    <x v="4"/>
    <s v="Fitness"/>
  </r>
  <r>
    <s v="North"/>
    <n v="196.89"/>
    <n v="194"/>
    <s v="Online"/>
    <n v="1"/>
    <d v="2023-03-16T00:00:00"/>
    <x v="2"/>
    <s v="Kitchen Model 2"/>
    <s v="BrandC"/>
    <n v="163.13999999999999"/>
    <n v="8"/>
    <x v="1"/>
    <s v="Kitchen"/>
  </r>
  <r>
    <s v="Islands"/>
    <n v="13.52"/>
    <n v="195"/>
    <s v="Sales agent"/>
    <n v="50"/>
    <d v="2023-07-26T00:00:00"/>
    <x v="1"/>
    <s v="Laptop Model 2"/>
    <s v="BrandB"/>
    <n v="65.05"/>
    <n v="4"/>
    <x v="3"/>
    <s v="Laptop"/>
  </r>
  <r>
    <s v="North"/>
    <n v="449.16"/>
    <n v="196"/>
    <s v="Online"/>
    <n v="32"/>
    <d v="2023-05-20T00:00:00"/>
    <x v="0"/>
    <s v="Printers Model 1"/>
    <s v="BrandA"/>
    <n v="36.47"/>
    <n v="23"/>
    <x v="0"/>
    <s v="Printers"/>
  </r>
  <r>
    <s v="Central"/>
    <n v="77.22"/>
    <n v="197"/>
    <s v="In-store"/>
    <n v="20"/>
    <d v="2023-05-28T00:00:00"/>
    <x v="3"/>
    <s v=" "/>
    <s v=" "/>
    <s v=" "/>
    <n v="26"/>
    <x v="5"/>
    <s v=" "/>
  </r>
  <r>
    <s v="Central"/>
    <n v="271.35000000000002"/>
    <n v="198"/>
    <s v="Online"/>
    <n v="36"/>
    <d v="2023-06-18T00:00:00"/>
    <x v="3"/>
    <s v=" "/>
    <s v=" "/>
    <s v=" "/>
    <n v="25"/>
    <x v="5"/>
    <s v=" "/>
  </r>
  <r>
    <s v="Central"/>
    <n v="235.27"/>
    <n v="199"/>
    <s v="In-store"/>
    <n v="32"/>
    <d v="2023-12-06T00:00:00"/>
    <x v="4"/>
    <s v="Clothing Model 2"/>
    <s v="BrandB"/>
    <n v="247.45"/>
    <n v="18"/>
    <x v="1"/>
    <s v="Clothing"/>
  </r>
  <r>
    <s v="South"/>
    <n v="73.87"/>
    <n v="200"/>
    <s v="Online"/>
    <n v="20"/>
    <d v="2023-01-08T00:00:00"/>
    <x v="4"/>
    <s v="Clothing Model 2"/>
    <s v="BrandB"/>
    <n v="247.45"/>
    <n v="18"/>
    <x v="0"/>
    <s v="Clothing"/>
  </r>
  <r>
    <s v="Islands"/>
    <n v="176.82"/>
    <n v="201"/>
    <s v="Online"/>
    <n v="30"/>
    <d v="2023-02-26T00:00:00"/>
    <x v="0"/>
    <s v="Printers Model 2"/>
    <s v="BrandA"/>
    <n v="272.52"/>
    <n v="24"/>
    <x v="4"/>
    <s v="Printers"/>
  </r>
  <r>
    <s v="North"/>
    <n v="358.5"/>
    <n v="202"/>
    <s v="Online"/>
    <n v="16"/>
    <d v="2023-09-25T00:00:00"/>
    <x v="2"/>
    <s v="Cleaning Model 2"/>
    <s v="BrandB"/>
    <n v="209.52"/>
    <n v="12"/>
    <x v="2"/>
    <s v="Cleaning"/>
  </r>
  <r>
    <s v="Central"/>
    <n v="390.19"/>
    <n v="203"/>
    <s v="In-store"/>
    <n v="6"/>
    <d v="2023-11-23T00:00:00"/>
    <x v="0"/>
    <s v="Printers Model 2"/>
    <s v="BrandA"/>
    <n v="272.52"/>
    <n v="24"/>
    <x v="1"/>
    <s v="Printers"/>
  </r>
  <r>
    <s v="South"/>
    <n v="152.35"/>
    <n v="204"/>
    <s v="Sales agent"/>
    <n v="42"/>
    <d v="2023-10-03T00:00:00"/>
    <x v="0"/>
    <s v="Stationery Model 1"/>
    <s v="BrandB"/>
    <n v="73"/>
    <n v="19"/>
    <x v="5"/>
    <s v="Stationery"/>
  </r>
  <r>
    <s v="Islands"/>
    <n v="36.56"/>
    <n v="205"/>
    <s v="Online"/>
    <n v="46"/>
    <d v="2023-05-14T00:00:00"/>
    <x v="4"/>
    <s v="Clothing Model 1"/>
    <s v="BrandD"/>
    <n v="111.57"/>
    <n v="17"/>
    <x v="2"/>
    <s v="Clothing"/>
  </r>
  <r>
    <s v="North"/>
    <n v="15.17"/>
    <n v="206"/>
    <s v="In-store"/>
    <n v="30"/>
    <d v="2023-12-10T00:00:00"/>
    <x v="2"/>
    <s v="Kitchen Model 1"/>
    <s v="BrandB"/>
    <n v="27.76"/>
    <n v="7"/>
    <x v="5"/>
    <s v="Kitchen"/>
  </r>
  <r>
    <s v="South"/>
    <n v="53.76"/>
    <n v="207"/>
    <s v="Marketplace"/>
    <n v="27"/>
    <d v="2023-07-11T00:00:00"/>
    <x v="0"/>
    <s v="Stationery Model 2"/>
    <s v="BrandC"/>
    <n v="170.2"/>
    <n v="20"/>
    <x v="0"/>
    <s v="Stationery"/>
  </r>
  <r>
    <s v="South"/>
    <n v="159.86000000000001"/>
    <n v="208"/>
    <s v="Marketplace"/>
    <n v="24"/>
    <d v="2023-11-13T00:00:00"/>
    <x v="1"/>
    <s v="Smartphone Model 1"/>
    <s v="BrandC"/>
    <n v="285.64999999999998"/>
    <n v="1"/>
    <x v="2"/>
    <s v="Smartphone"/>
  </r>
  <r>
    <s v="Central"/>
    <n v="497.2"/>
    <n v="209"/>
    <s v="Sales agent"/>
    <n v="19"/>
    <d v="2023-12-25T00:00:00"/>
    <x v="1"/>
    <s v="Tablet Model 1"/>
    <s v="BrandD"/>
    <n v="55.43"/>
    <n v="5"/>
    <x v="5"/>
    <s v="Tablet"/>
  </r>
  <r>
    <s v="Central"/>
    <n v="119.17"/>
    <n v="210"/>
    <s v="Sales agent"/>
    <n v="34"/>
    <d v="2023-09-04T00:00:00"/>
    <x v="0"/>
    <s v="Stationery Model 1"/>
    <s v="BrandB"/>
    <n v="73"/>
    <n v="19"/>
    <x v="2"/>
    <s v="Stationery"/>
  </r>
  <r>
    <s v="South"/>
    <n v="476.42"/>
    <n v="211"/>
    <s v="Sales agent"/>
    <n v="28"/>
    <d v="2023-06-02T00:00:00"/>
    <x v="1"/>
    <s v="Laptop Model 2"/>
    <s v="BrandB"/>
    <n v="65.05"/>
    <n v="4"/>
    <x v="4"/>
    <s v="Laptop"/>
  </r>
  <r>
    <s v="North"/>
    <n v="195"/>
    <n v="212"/>
    <s v="Online"/>
    <n v="3"/>
    <d v="2023-11-19T00:00:00"/>
    <x v="0"/>
    <s v="Office Furniture Model 1"/>
    <s v="BrandC"/>
    <n v="67.66"/>
    <n v="21"/>
    <x v="1"/>
    <s v="Office Furniture"/>
  </r>
  <r>
    <s v="South"/>
    <n v="170.44"/>
    <n v="213"/>
    <s v="In-store"/>
    <n v="26"/>
    <d v="2023-03-25T00:00:00"/>
    <x v="3"/>
    <s v=" "/>
    <s v=" "/>
    <s v=" "/>
    <n v="30"/>
    <x v="3"/>
    <s v=" "/>
  </r>
  <r>
    <s v="Islands"/>
    <n v="466.45"/>
    <n v="214"/>
    <s v="Online"/>
    <n v="15"/>
    <d v="2023-11-24T00:00:00"/>
    <x v="1"/>
    <s v="Laptop Model 1"/>
    <s v="BrandB"/>
    <n v="251.46"/>
    <n v="3"/>
    <x v="4"/>
    <s v="Laptop"/>
  </r>
  <r>
    <s v="Islands"/>
    <n v="204.76"/>
    <n v="215"/>
    <s v="Online"/>
    <n v="4"/>
    <d v="2023-04-06T00:00:00"/>
    <x v="1"/>
    <s v="Tablet Model 1"/>
    <s v="BrandD"/>
    <n v="55.43"/>
    <n v="5"/>
    <x v="2"/>
    <s v="Tablet"/>
  </r>
  <r>
    <s v="North"/>
    <n v="167.04"/>
    <n v="216"/>
    <s v="Marketplace"/>
    <n v="47"/>
    <d v="2023-01-02T00:00:00"/>
    <x v="2"/>
    <s v="Kitchen Model 2"/>
    <s v="BrandC"/>
    <n v="163.13999999999999"/>
    <n v="8"/>
    <x v="3"/>
    <s v="Kitchen"/>
  </r>
  <r>
    <s v="South"/>
    <n v="150.05000000000001"/>
    <n v="217"/>
    <s v="Sales agent"/>
    <n v="12"/>
    <d v="2023-12-06T00:00:00"/>
    <x v="2"/>
    <s v="Cleaning Model 1"/>
    <s v="BrandD"/>
    <n v="191.61"/>
    <n v="11"/>
    <x v="2"/>
    <s v="Cleaning"/>
  </r>
  <r>
    <s v="South"/>
    <n v="56.15"/>
    <n v="218"/>
    <s v="Sales agent"/>
    <n v="6"/>
    <d v="2023-12-20T00:00:00"/>
    <x v="4"/>
    <s v="Clothing Model 2"/>
    <s v="BrandB"/>
    <n v="247.45"/>
    <n v="18"/>
    <x v="5"/>
    <s v="Clothing"/>
  </r>
  <r>
    <s v="Central"/>
    <n v="442.16"/>
    <n v="219"/>
    <s v="In-store"/>
    <n v="47"/>
    <d v="2023-07-15T00:00:00"/>
    <x v="1"/>
    <s v="Tablet Model 1"/>
    <s v="BrandD"/>
    <n v="55.43"/>
    <n v="5"/>
    <x v="2"/>
    <s v="Tablet"/>
  </r>
  <r>
    <s v="Central"/>
    <n v="163.01"/>
    <n v="220"/>
    <s v="Sales agent"/>
    <n v="28"/>
    <d v="2023-09-28T00:00:00"/>
    <x v="0"/>
    <s v="Printers Model 1"/>
    <s v="BrandA"/>
    <n v="36.47"/>
    <n v="23"/>
    <x v="0"/>
    <s v="Printers"/>
  </r>
  <r>
    <s v="Islands"/>
    <n v="204.06"/>
    <n v="221"/>
    <s v="Sales agent"/>
    <n v="33"/>
    <d v="2023-03-17T00:00:00"/>
    <x v="1"/>
    <s v="Tablet Model 2"/>
    <s v="BrandB"/>
    <n v="184.01"/>
    <n v="6"/>
    <x v="2"/>
    <s v="Tablet"/>
  </r>
  <r>
    <s v="Central"/>
    <n v="459.71"/>
    <n v="222"/>
    <s v="Marketplace"/>
    <n v="48"/>
    <d v="2023-07-10T00:00:00"/>
    <x v="2"/>
    <s v="Kitchen Model 1"/>
    <s v="BrandB"/>
    <n v="27.76"/>
    <n v="7"/>
    <x v="2"/>
    <s v="Kitchen"/>
  </r>
  <r>
    <s v="South"/>
    <n v="12.71"/>
    <n v="223"/>
    <s v="Online"/>
    <n v="39"/>
    <d v="2023-02-25T00:00:00"/>
    <x v="1"/>
    <s v="Tablet Model 1"/>
    <s v="BrandD"/>
    <n v="55.43"/>
    <n v="5"/>
    <x v="4"/>
    <s v="Tablet"/>
  </r>
  <r>
    <s v="Islands"/>
    <n v="387.26"/>
    <n v="224"/>
    <s v="Sales agent"/>
    <n v="8"/>
    <d v="2023-09-01T00:00:00"/>
    <x v="2"/>
    <s v="Kitchen Model 2"/>
    <s v="BrandC"/>
    <n v="163.13999999999999"/>
    <n v="8"/>
    <x v="1"/>
    <s v="Kitchen"/>
  </r>
  <r>
    <s v="North"/>
    <n v="345.75"/>
    <n v="225"/>
    <s v="Sales agent"/>
    <n v="27"/>
    <d v="2023-08-07T00:00:00"/>
    <x v="2"/>
    <s v="Kitchen Model 2"/>
    <s v="BrandC"/>
    <n v="163.13999999999999"/>
    <n v="8"/>
    <x v="1"/>
    <s v="Kitchen"/>
  </r>
  <r>
    <s v="Islands"/>
    <n v="359.6"/>
    <n v="226"/>
    <s v="Online"/>
    <n v="42"/>
    <d v="2023-09-18T00:00:00"/>
    <x v="3"/>
    <s v=" "/>
    <s v=" "/>
    <s v=" "/>
    <n v="28"/>
    <x v="5"/>
    <s v=" "/>
  </r>
  <r>
    <s v="Islands"/>
    <n v="88.62"/>
    <n v="227"/>
    <s v="Sales agent"/>
    <n v="41"/>
    <d v="2023-02-19T00:00:00"/>
    <x v="3"/>
    <s v=" "/>
    <s v=" "/>
    <s v=" "/>
    <n v="27"/>
    <x v="4"/>
    <s v=" "/>
  </r>
  <r>
    <s v="Central"/>
    <n v="99.88"/>
    <n v="228"/>
    <s v="Marketplace"/>
    <n v="16"/>
    <d v="2023-02-06T00:00:00"/>
    <x v="3"/>
    <s v=" "/>
    <s v=" "/>
    <s v=" "/>
    <n v="30"/>
    <x v="5"/>
    <s v=" "/>
  </r>
  <r>
    <s v="Islands"/>
    <n v="238.86"/>
    <n v="229"/>
    <s v="Sales agent"/>
    <n v="39"/>
    <d v="2023-05-18T00:00:00"/>
    <x v="1"/>
    <s v="Laptop Model 1"/>
    <s v="BrandB"/>
    <n v="251.46"/>
    <n v="3"/>
    <x v="5"/>
    <s v="Laptop"/>
  </r>
  <r>
    <s v="Central"/>
    <n v="213.54"/>
    <n v="230"/>
    <s v="Sales agent"/>
    <n v="2"/>
    <d v="2023-10-04T00:00:00"/>
    <x v="3"/>
    <s v=" "/>
    <s v=" "/>
    <s v=" "/>
    <n v="25"/>
    <x v="2"/>
    <s v=" "/>
  </r>
  <r>
    <s v="Islands"/>
    <n v="364.2"/>
    <n v="231"/>
    <s v="Online"/>
    <n v="14"/>
    <d v="2023-07-30T00:00:00"/>
    <x v="0"/>
    <s v="Stationery Model 2"/>
    <s v="BrandC"/>
    <n v="170.2"/>
    <n v="20"/>
    <x v="2"/>
    <s v="Stationery"/>
  </r>
  <r>
    <s v="North"/>
    <n v="418.34"/>
    <n v="232"/>
    <s v="Marketplace"/>
    <n v="28"/>
    <d v="2023-06-04T00:00:00"/>
    <x v="3"/>
    <s v=" "/>
    <s v=" "/>
    <s v=" "/>
    <n v="29"/>
    <x v="4"/>
    <s v=" "/>
  </r>
  <r>
    <s v="Central"/>
    <n v="5.43"/>
    <n v="233"/>
    <s v="Marketplace"/>
    <n v="48"/>
    <d v="2023-09-11T00:00:00"/>
    <x v="4"/>
    <s v="Clothing Model 2"/>
    <s v="BrandB"/>
    <n v="247.45"/>
    <n v="18"/>
    <x v="3"/>
    <s v="Clothing"/>
  </r>
  <r>
    <s v="North"/>
    <n v="14.34"/>
    <n v="234"/>
    <s v="Marketplace"/>
    <n v="33"/>
    <d v="2023-03-29T00:00:00"/>
    <x v="1"/>
    <s v="Smartphone Model 2"/>
    <s v="BrandB"/>
    <n v="43.27"/>
    <n v="2"/>
    <x v="0"/>
    <s v="Smartphone"/>
  </r>
  <r>
    <s v="North"/>
    <n v="7.53"/>
    <n v="235"/>
    <s v="Sales agent"/>
    <n v="13"/>
    <d v="2023-05-06T00:00:00"/>
    <x v="4"/>
    <s v="Fitness Model 2"/>
    <s v="BrandA"/>
    <n v="63.68"/>
    <n v="14"/>
    <x v="2"/>
    <s v="Fitness"/>
  </r>
  <r>
    <s v="Islands"/>
    <n v="254.76"/>
    <n v="236"/>
    <s v="Online"/>
    <n v="16"/>
    <d v="2023-09-29T00:00:00"/>
    <x v="4"/>
    <s v="Outdoor Model 1"/>
    <s v="BrandD"/>
    <n v="223.53"/>
    <n v="15"/>
    <x v="2"/>
    <s v="Outdoor"/>
  </r>
  <r>
    <s v="South"/>
    <n v="380.4"/>
    <n v="237"/>
    <s v="Sales agent"/>
    <n v="19"/>
    <d v="2023-11-07T00:00:00"/>
    <x v="4"/>
    <s v="Clothing Model 2"/>
    <s v="BrandB"/>
    <n v="247.45"/>
    <n v="18"/>
    <x v="3"/>
    <s v="Clothing"/>
  </r>
  <r>
    <s v="Central"/>
    <n v="414.38"/>
    <n v="238"/>
    <s v="In-store"/>
    <n v="32"/>
    <d v="2023-03-20T00:00:00"/>
    <x v="0"/>
    <s v="Office Furniture Model 1"/>
    <s v="BrandC"/>
    <n v="67.66"/>
    <n v="21"/>
    <x v="3"/>
    <s v="Office Furniture"/>
  </r>
  <r>
    <s v="Central"/>
    <n v="467.95"/>
    <n v="239"/>
    <s v="In-store"/>
    <n v="40"/>
    <d v="2023-04-06T00:00:00"/>
    <x v="0"/>
    <s v="Stationery Model 1"/>
    <s v="BrandB"/>
    <n v="73"/>
    <n v="19"/>
    <x v="0"/>
    <s v="Stationery"/>
  </r>
  <r>
    <s v="Central"/>
    <n v="432.56"/>
    <n v="240"/>
    <s v="In-store"/>
    <n v="17"/>
    <d v="2023-05-26T00:00:00"/>
    <x v="4"/>
    <s v="Clothing Model 2"/>
    <s v="BrandB"/>
    <n v="247.45"/>
    <n v="18"/>
    <x v="4"/>
    <s v="Clothing"/>
  </r>
  <r>
    <s v="Central"/>
    <n v="45.98"/>
    <n v="241"/>
    <s v="Sales agent"/>
    <n v="9"/>
    <d v="2023-06-09T00:00:00"/>
    <x v="2"/>
    <s v="Kitchen Model 1"/>
    <s v="BrandB"/>
    <n v="27.76"/>
    <n v="7"/>
    <x v="2"/>
    <s v="Kitchen"/>
  </r>
  <r>
    <s v="South"/>
    <n v="298.8"/>
    <n v="242"/>
    <s v="Sales agent"/>
    <n v="7"/>
    <d v="2023-09-13T00:00:00"/>
    <x v="0"/>
    <s v="Office Furniture Model 2"/>
    <s v="BrandA"/>
    <n v="59.72"/>
    <n v="22"/>
    <x v="5"/>
    <s v="Office Furniture"/>
  </r>
  <r>
    <s v="South"/>
    <n v="72.95"/>
    <n v="243"/>
    <s v="Online"/>
    <n v="29"/>
    <d v="2023-02-01T00:00:00"/>
    <x v="1"/>
    <s v="Smartphone Model 2"/>
    <s v="BrandB"/>
    <n v="43.27"/>
    <n v="2"/>
    <x v="5"/>
    <s v="Smartphone"/>
  </r>
  <r>
    <s v="South"/>
    <n v="30.42"/>
    <n v="244"/>
    <s v="Marketplace"/>
    <n v="11"/>
    <d v="2023-08-02T00:00:00"/>
    <x v="2"/>
    <s v="Cleaning Model 1"/>
    <s v="BrandD"/>
    <n v="191.61"/>
    <n v="11"/>
    <x v="2"/>
    <s v="Cleaning"/>
  </r>
  <r>
    <s v="Islands"/>
    <n v="182.14"/>
    <n v="245"/>
    <s v="Sales agent"/>
    <n v="28"/>
    <d v="2023-05-22T00:00:00"/>
    <x v="3"/>
    <s v=" "/>
    <s v=" "/>
    <s v=" "/>
    <n v="28"/>
    <x v="3"/>
    <s v=" "/>
  </r>
  <r>
    <s v="South"/>
    <n v="316.83999999999997"/>
    <n v="246"/>
    <s v="Marketplace"/>
    <n v="49"/>
    <d v="2023-09-24T00:00:00"/>
    <x v="2"/>
    <s v="Kitchen Model 2"/>
    <s v="BrandC"/>
    <n v="163.13999999999999"/>
    <n v="8"/>
    <x v="1"/>
    <s v="Kitchen"/>
  </r>
  <r>
    <s v="North"/>
    <n v="497.79"/>
    <n v="247"/>
    <s v="Online"/>
    <n v="13"/>
    <d v="2023-06-11T00:00:00"/>
    <x v="4"/>
    <s v="Outdoor Model 2"/>
    <s v="BrandA"/>
    <n v="21.27"/>
    <n v="16"/>
    <x v="2"/>
    <s v="Outdoor"/>
  </r>
  <r>
    <s v="North"/>
    <n v="451.13"/>
    <n v="248"/>
    <s v="Marketplace"/>
    <n v="50"/>
    <d v="2023-08-28T00:00:00"/>
    <x v="3"/>
    <s v=" "/>
    <s v=" "/>
    <s v=" "/>
    <n v="28"/>
    <x v="4"/>
    <s v=" "/>
  </r>
  <r>
    <s v="South"/>
    <n v="167.21"/>
    <n v="249"/>
    <s v="Online"/>
    <n v="13"/>
    <d v="2023-02-10T00:00:00"/>
    <x v="4"/>
    <s v="Outdoor Model 1"/>
    <s v="BrandD"/>
    <n v="223.53"/>
    <n v="15"/>
    <x v="0"/>
    <s v="Outdoor"/>
  </r>
  <r>
    <s v="South"/>
    <n v="214.41"/>
    <n v="250"/>
    <s v="In-store"/>
    <n v="39"/>
    <d v="2023-04-15T00:00:00"/>
    <x v="4"/>
    <s v="Outdoor Model 2"/>
    <s v="BrandA"/>
    <n v="21.27"/>
    <n v="16"/>
    <x v="0"/>
    <s v="Outdoor"/>
  </r>
  <r>
    <s v="Central"/>
    <n v="299.83"/>
    <n v="251"/>
    <s v="In-store"/>
    <n v="12"/>
    <d v="2023-03-20T00:00:00"/>
    <x v="0"/>
    <s v="Stationery Model 2"/>
    <s v="BrandC"/>
    <n v="170.2"/>
    <n v="20"/>
    <x v="1"/>
    <s v="Stationery"/>
  </r>
  <r>
    <s v="South"/>
    <n v="261.85000000000002"/>
    <n v="252"/>
    <s v="Online"/>
    <n v="30"/>
    <d v="2023-08-03T00:00:00"/>
    <x v="4"/>
    <s v="Clothing Model 2"/>
    <s v="BrandB"/>
    <n v="247.45"/>
    <n v="18"/>
    <x v="5"/>
    <s v="Clothing"/>
  </r>
  <r>
    <s v="Central"/>
    <n v="281.04000000000002"/>
    <n v="253"/>
    <s v="Marketplace"/>
    <n v="13"/>
    <d v="2023-07-24T00:00:00"/>
    <x v="0"/>
    <s v="Printers Model 2"/>
    <s v="BrandA"/>
    <n v="272.52"/>
    <n v="24"/>
    <x v="0"/>
    <s v="Printers"/>
  </r>
  <r>
    <s v="North"/>
    <n v="126.9"/>
    <n v="254"/>
    <s v="Sales agent"/>
    <n v="43"/>
    <d v="2023-12-10T00:00:00"/>
    <x v="1"/>
    <s v="Smartphone Model 1"/>
    <s v="BrandC"/>
    <n v="285.64999999999998"/>
    <n v="1"/>
    <x v="3"/>
    <s v="Smartphone"/>
  </r>
  <r>
    <s v="South"/>
    <n v="300.45999999999998"/>
    <n v="255"/>
    <s v="Marketplace"/>
    <n v="37"/>
    <d v="2023-03-14T00:00:00"/>
    <x v="3"/>
    <s v=" "/>
    <s v=" "/>
    <s v=" "/>
    <n v="30"/>
    <x v="1"/>
    <s v=" "/>
  </r>
  <r>
    <s v="Islands"/>
    <n v="69.67"/>
    <n v="256"/>
    <s v="Online"/>
    <n v="50"/>
    <d v="2023-09-21T00:00:00"/>
    <x v="1"/>
    <s v="Tablet Model 1"/>
    <s v="BrandD"/>
    <n v="55.43"/>
    <n v="5"/>
    <x v="1"/>
    <s v="Tablet"/>
  </r>
  <r>
    <s v="North"/>
    <n v="207.19"/>
    <n v="257"/>
    <s v="Marketplace"/>
    <n v="28"/>
    <d v="2023-02-07T00:00:00"/>
    <x v="1"/>
    <s v="Smartphone Model 1"/>
    <s v="BrandC"/>
    <n v="285.64999999999998"/>
    <n v="1"/>
    <x v="5"/>
    <s v="Smartphone"/>
  </r>
  <r>
    <s v="North"/>
    <n v="156.19999999999999"/>
    <n v="258"/>
    <s v="Sales agent"/>
    <n v="45"/>
    <d v="2023-04-29T00:00:00"/>
    <x v="1"/>
    <s v="Laptop Model 1"/>
    <s v="BrandB"/>
    <n v="251.46"/>
    <n v="3"/>
    <x v="4"/>
    <s v="Laptop"/>
  </r>
  <r>
    <s v="North"/>
    <n v="118.2"/>
    <n v="259"/>
    <s v="Online"/>
    <n v="4"/>
    <d v="2023-11-19T00:00:00"/>
    <x v="4"/>
    <s v="Clothing Model 2"/>
    <s v="BrandB"/>
    <n v="247.45"/>
    <n v="18"/>
    <x v="5"/>
    <s v="Clothing"/>
  </r>
  <r>
    <s v="South"/>
    <n v="22.11"/>
    <n v="260"/>
    <s v="In-store"/>
    <n v="8"/>
    <d v="2023-08-12T00:00:00"/>
    <x v="0"/>
    <s v="Stationery Model 2"/>
    <s v="BrandC"/>
    <n v="170.2"/>
    <n v="20"/>
    <x v="2"/>
    <s v="Stationery"/>
  </r>
  <r>
    <s v="Central"/>
    <n v="494.85"/>
    <n v="261"/>
    <s v="Sales agent"/>
    <n v="11"/>
    <d v="2023-07-08T00:00:00"/>
    <x v="2"/>
    <s v="Kitchen Model 2"/>
    <s v="BrandC"/>
    <n v="163.13999999999999"/>
    <n v="8"/>
    <x v="4"/>
    <s v="Kitchen"/>
  </r>
  <r>
    <s v="North"/>
    <n v="141.49"/>
    <n v="262"/>
    <s v="In-store"/>
    <n v="8"/>
    <d v="2023-08-11T00:00:00"/>
    <x v="3"/>
    <s v=" "/>
    <s v=" "/>
    <s v=" "/>
    <n v="28"/>
    <x v="4"/>
    <s v=" "/>
  </r>
  <r>
    <s v="Islands"/>
    <n v="119.14"/>
    <n v="263"/>
    <s v="Marketplace"/>
    <n v="18"/>
    <d v="2023-10-21T00:00:00"/>
    <x v="1"/>
    <s v="Smartphone Model 2"/>
    <s v="BrandB"/>
    <n v="43.27"/>
    <n v="2"/>
    <x v="0"/>
    <s v="Smartphone"/>
  </r>
  <r>
    <s v="Central"/>
    <n v="159.75"/>
    <n v="264"/>
    <s v="Online"/>
    <n v="15"/>
    <d v="2023-09-03T00:00:00"/>
    <x v="0"/>
    <s v="Printers Model 1"/>
    <s v="BrandA"/>
    <n v="36.47"/>
    <n v="23"/>
    <x v="4"/>
    <s v="Printers"/>
  </r>
  <r>
    <s v="Central"/>
    <n v="94.22"/>
    <n v="265"/>
    <s v="Sales agent"/>
    <n v="39"/>
    <d v="2023-11-12T00:00:00"/>
    <x v="4"/>
    <s v="Clothing Model 1"/>
    <s v="BrandD"/>
    <n v="111.57"/>
    <n v="17"/>
    <x v="2"/>
    <s v="Clothing"/>
  </r>
  <r>
    <s v="South"/>
    <n v="325.69"/>
    <n v="266"/>
    <s v="Sales agent"/>
    <n v="5"/>
    <d v="2023-04-19T00:00:00"/>
    <x v="3"/>
    <s v=" "/>
    <s v=" "/>
    <s v=" "/>
    <n v="27"/>
    <x v="1"/>
    <s v=" "/>
  </r>
  <r>
    <s v="North"/>
    <n v="53.84"/>
    <n v="267"/>
    <s v="Online"/>
    <n v="6"/>
    <d v="2023-05-13T00:00:00"/>
    <x v="4"/>
    <s v="Clothing Model 2"/>
    <s v="BrandB"/>
    <n v="247.45"/>
    <n v="18"/>
    <x v="0"/>
    <s v="Clothing"/>
  </r>
  <r>
    <s v="North"/>
    <n v="133.57"/>
    <n v="268"/>
    <s v="In-store"/>
    <n v="42"/>
    <d v="2023-08-20T00:00:00"/>
    <x v="4"/>
    <s v="Clothing Model 1"/>
    <s v="BrandD"/>
    <n v="111.57"/>
    <n v="17"/>
    <x v="0"/>
    <s v="Clothing"/>
  </r>
  <r>
    <s v="South"/>
    <n v="225.64"/>
    <n v="269"/>
    <s v="In-store"/>
    <n v="2"/>
    <d v="2023-07-10T00:00:00"/>
    <x v="3"/>
    <s v=" "/>
    <s v=" "/>
    <s v=" "/>
    <n v="28"/>
    <x v="2"/>
    <s v=" "/>
  </r>
  <r>
    <s v="North"/>
    <n v="418.58"/>
    <n v="270"/>
    <s v="In-store"/>
    <n v="41"/>
    <d v="2023-03-29T00:00:00"/>
    <x v="1"/>
    <s v="Laptop Model 1"/>
    <s v="BrandB"/>
    <n v="251.46"/>
    <n v="3"/>
    <x v="2"/>
    <s v="Laptop"/>
  </r>
  <r>
    <s v="Central"/>
    <n v="181.69"/>
    <n v="271"/>
    <s v="In-store"/>
    <n v="33"/>
    <d v="2023-12-23T00:00:00"/>
    <x v="0"/>
    <s v="Printers Model 1"/>
    <s v="BrandA"/>
    <n v="36.47"/>
    <n v="23"/>
    <x v="0"/>
    <s v="Printers"/>
  </r>
  <r>
    <s v="South"/>
    <n v="366.88"/>
    <n v="272"/>
    <s v="Marketplace"/>
    <n v="21"/>
    <d v="2023-01-04T00:00:00"/>
    <x v="2"/>
    <s v="Kitchen Model 2"/>
    <s v="BrandC"/>
    <n v="163.13999999999999"/>
    <n v="8"/>
    <x v="5"/>
    <s v="Kitchen"/>
  </r>
  <r>
    <s v="North"/>
    <n v="16.97"/>
    <n v="273"/>
    <s v="Sales agent"/>
    <n v="29"/>
    <d v="2023-07-22T00:00:00"/>
    <x v="0"/>
    <s v="Stationery Model 1"/>
    <s v="BrandB"/>
    <n v="73"/>
    <n v="19"/>
    <x v="4"/>
    <s v="Stationery"/>
  </r>
  <r>
    <s v="South"/>
    <n v="16.809999999999999"/>
    <n v="274"/>
    <s v="In-store"/>
    <n v="24"/>
    <d v="2023-10-16T00:00:00"/>
    <x v="4"/>
    <s v="Clothing Model 1"/>
    <s v="BrandD"/>
    <n v="111.57"/>
    <n v="17"/>
    <x v="4"/>
    <s v="Clothing"/>
  </r>
  <r>
    <s v="Central"/>
    <n v="452.24"/>
    <n v="275"/>
    <s v="Marketplace"/>
    <n v="8"/>
    <d v="2023-02-16T00:00:00"/>
    <x v="2"/>
    <s v="Cleaning Model 2"/>
    <s v="BrandB"/>
    <n v="209.52"/>
    <n v="12"/>
    <x v="2"/>
    <s v="Cleaning"/>
  </r>
  <r>
    <s v="South"/>
    <n v="112.44"/>
    <n v="276"/>
    <s v="In-store"/>
    <n v="14"/>
    <d v="2023-07-23T00:00:00"/>
    <x v="3"/>
    <s v=" "/>
    <s v=" "/>
    <s v=" "/>
    <n v="29"/>
    <x v="3"/>
    <s v=" "/>
  </r>
  <r>
    <s v="North"/>
    <n v="40.04"/>
    <n v="277"/>
    <s v="Sales agent"/>
    <n v="17"/>
    <d v="2023-03-13T00:00:00"/>
    <x v="0"/>
    <s v="Stationery Model 1"/>
    <s v="BrandB"/>
    <n v="73"/>
    <n v="19"/>
    <x v="1"/>
    <s v="Stationery"/>
  </r>
  <r>
    <s v="North"/>
    <n v="271.02"/>
    <n v="278"/>
    <s v="Sales agent"/>
    <n v="22"/>
    <d v="2023-09-14T00:00:00"/>
    <x v="3"/>
    <s v=" "/>
    <s v=" "/>
    <s v=" "/>
    <n v="29"/>
    <x v="0"/>
    <s v=" "/>
  </r>
  <r>
    <s v="Islands"/>
    <n v="68.260000000000005"/>
    <n v="279"/>
    <s v="Sales agent"/>
    <n v="3"/>
    <d v="2023-09-24T00:00:00"/>
    <x v="0"/>
    <s v="Printers Model 1"/>
    <s v="BrandA"/>
    <n v="36.47"/>
    <n v="23"/>
    <x v="1"/>
    <s v="Printers"/>
  </r>
  <r>
    <s v="South"/>
    <n v="414.7"/>
    <n v="280"/>
    <s v="Sales agent"/>
    <n v="20"/>
    <d v="2023-10-25T00:00:00"/>
    <x v="2"/>
    <s v="Kitchen Model 1"/>
    <s v="BrandB"/>
    <n v="27.76"/>
    <n v="7"/>
    <x v="4"/>
    <s v="Kitchen"/>
  </r>
  <r>
    <s v="South"/>
    <n v="141.75"/>
    <n v="281"/>
    <s v="Sales agent"/>
    <n v="38"/>
    <d v="2023-07-02T00:00:00"/>
    <x v="4"/>
    <s v="Fitness Model 2"/>
    <s v="BrandA"/>
    <n v="63.68"/>
    <n v="14"/>
    <x v="2"/>
    <s v="Fitness"/>
  </r>
  <r>
    <s v="Central"/>
    <n v="475.93"/>
    <n v="282"/>
    <s v="Online"/>
    <n v="31"/>
    <d v="2023-04-11T00:00:00"/>
    <x v="1"/>
    <s v="Smartphone Model 2"/>
    <s v="BrandB"/>
    <n v="43.27"/>
    <n v="2"/>
    <x v="5"/>
    <s v="Smartphone"/>
  </r>
  <r>
    <s v="North"/>
    <n v="283.87"/>
    <n v="283"/>
    <s v="Sales agent"/>
    <n v="46"/>
    <d v="2023-10-05T00:00:00"/>
    <x v="2"/>
    <s v="Cleaning Model 1"/>
    <s v="BrandD"/>
    <n v="191.61"/>
    <n v="11"/>
    <x v="2"/>
    <s v="Cleaning"/>
  </r>
  <r>
    <s v="Central"/>
    <n v="277.43"/>
    <n v="284"/>
    <s v="Online"/>
    <n v="32"/>
    <d v="2023-11-25T00:00:00"/>
    <x v="0"/>
    <s v="Printers Model 2"/>
    <s v="BrandA"/>
    <n v="272.52"/>
    <n v="24"/>
    <x v="4"/>
    <s v="Printers"/>
  </r>
  <r>
    <s v="Central"/>
    <n v="54.45"/>
    <n v="285"/>
    <s v="Marketplace"/>
    <n v="28"/>
    <d v="2023-07-03T00:00:00"/>
    <x v="4"/>
    <s v="Outdoor Model 2"/>
    <s v="BrandA"/>
    <n v="21.27"/>
    <n v="16"/>
    <x v="2"/>
    <s v="Outdoor"/>
  </r>
  <r>
    <s v="South"/>
    <n v="283.02"/>
    <n v="286"/>
    <s v="Sales agent"/>
    <n v="47"/>
    <d v="2023-02-05T00:00:00"/>
    <x v="4"/>
    <s v="Fitness Model 1"/>
    <s v="BrandB"/>
    <n v="227.4"/>
    <n v="13"/>
    <x v="2"/>
    <s v="Fitness"/>
  </r>
  <r>
    <s v="Central"/>
    <n v="221.78"/>
    <n v="287"/>
    <s v="Sales agent"/>
    <n v="10"/>
    <d v="2023-09-18T00:00:00"/>
    <x v="4"/>
    <s v="Clothing Model 2"/>
    <s v="BrandB"/>
    <n v="247.45"/>
    <n v="18"/>
    <x v="0"/>
    <s v="Clothing"/>
  </r>
  <r>
    <s v="Islands"/>
    <n v="227.47"/>
    <n v="288"/>
    <s v="Online"/>
    <n v="1"/>
    <d v="2023-05-18T00:00:00"/>
    <x v="0"/>
    <s v="Printers Model 2"/>
    <s v="BrandA"/>
    <n v="272.52"/>
    <n v="24"/>
    <x v="5"/>
    <s v="Printers"/>
  </r>
  <r>
    <s v="South"/>
    <n v="9.84"/>
    <n v="289"/>
    <s v="In-store"/>
    <n v="48"/>
    <d v="2023-02-17T00:00:00"/>
    <x v="4"/>
    <s v="Outdoor Model 2"/>
    <s v="BrandA"/>
    <n v="21.27"/>
    <n v="16"/>
    <x v="1"/>
    <s v="Outdoor"/>
  </r>
  <r>
    <s v="South"/>
    <n v="311.33"/>
    <n v="290"/>
    <s v="Online"/>
    <n v="2"/>
    <d v="2023-11-22T00:00:00"/>
    <x v="2"/>
    <s v="Cleaning Model 2"/>
    <s v="BrandB"/>
    <n v="209.52"/>
    <n v="12"/>
    <x v="4"/>
    <s v="Cleaning"/>
  </r>
  <r>
    <s v="Central"/>
    <n v="146.32"/>
    <n v="291"/>
    <s v="Marketplace"/>
    <n v="21"/>
    <d v="2023-09-01T00:00:00"/>
    <x v="1"/>
    <s v="Smartphone Model 2"/>
    <s v="BrandB"/>
    <n v="43.27"/>
    <n v="2"/>
    <x v="4"/>
    <s v="Smartphone"/>
  </r>
  <r>
    <s v="Islands"/>
    <n v="41.89"/>
    <n v="292"/>
    <s v="In-store"/>
    <n v="7"/>
    <d v="2023-11-11T00:00:00"/>
    <x v="2"/>
    <s v="Cleaning Model 1"/>
    <s v="BrandD"/>
    <n v="191.61"/>
    <n v="11"/>
    <x v="1"/>
    <s v="Cleaning"/>
  </r>
  <r>
    <s v="North"/>
    <n v="391.67"/>
    <n v="293"/>
    <s v="Sales agent"/>
    <n v="14"/>
    <d v="2023-05-27T00:00:00"/>
    <x v="0"/>
    <s v="Office Furniture Model 2"/>
    <s v="BrandA"/>
    <n v="59.72"/>
    <n v="22"/>
    <x v="0"/>
    <s v="Office Furniture"/>
  </r>
  <r>
    <s v="South"/>
    <n v="486.02"/>
    <n v="294"/>
    <s v="Marketplace"/>
    <n v="18"/>
    <d v="2023-08-30T00:00:00"/>
    <x v="4"/>
    <s v="Outdoor Model 2"/>
    <s v="BrandA"/>
    <n v="21.27"/>
    <n v="16"/>
    <x v="5"/>
    <s v="Outdoor"/>
  </r>
  <r>
    <s v="Islands"/>
    <n v="302.83"/>
    <n v="295"/>
    <s v="Sales agent"/>
    <n v="26"/>
    <d v="2023-11-11T00:00:00"/>
    <x v="0"/>
    <s v="Stationery Model 1"/>
    <s v="BrandB"/>
    <n v="73"/>
    <n v="19"/>
    <x v="0"/>
    <s v="Stationery"/>
  </r>
  <r>
    <s v="Islands"/>
    <n v="415.74"/>
    <n v="296"/>
    <s v="Online"/>
    <n v="6"/>
    <d v="2023-09-07T00:00:00"/>
    <x v="0"/>
    <s v="Stationery Model 2"/>
    <s v="BrandC"/>
    <n v="170.2"/>
    <n v="20"/>
    <x v="2"/>
    <s v="Stationery"/>
  </r>
  <r>
    <s v="Islands"/>
    <n v="211.36"/>
    <n v="297"/>
    <s v="Sales agent"/>
    <n v="16"/>
    <d v="2023-04-06T00:00:00"/>
    <x v="2"/>
    <s v="Kitchen Model 2"/>
    <s v="BrandC"/>
    <n v="163.13999999999999"/>
    <n v="8"/>
    <x v="1"/>
    <s v="Kitchen"/>
  </r>
  <r>
    <s v="South"/>
    <n v="387.58"/>
    <n v="298"/>
    <s v="In-store"/>
    <n v="50"/>
    <d v="2023-12-03T00:00:00"/>
    <x v="1"/>
    <s v="Laptop Model 1"/>
    <s v="BrandB"/>
    <n v="251.46"/>
    <n v="3"/>
    <x v="0"/>
    <s v="Laptop"/>
  </r>
  <r>
    <s v="South"/>
    <n v="27.9"/>
    <n v="299"/>
    <s v="In-store"/>
    <n v="49"/>
    <d v="2023-09-26T00:00:00"/>
    <x v="2"/>
    <s v="Furniture Model 2"/>
    <s v="BrandD"/>
    <n v="3.75"/>
    <n v="10"/>
    <x v="4"/>
    <s v="Furniture"/>
  </r>
  <r>
    <s v="North"/>
    <n v="191.3"/>
    <n v="300"/>
    <s v="Marketplace"/>
    <n v="30"/>
    <d v="2023-03-14T00:00:00"/>
    <x v="4"/>
    <s v="Outdoor Model 1"/>
    <s v="BrandD"/>
    <n v="223.53"/>
    <n v="15"/>
    <x v="1"/>
    <s v="Outdoor"/>
  </r>
  <r>
    <s v="South"/>
    <n v="40.96"/>
    <n v="301"/>
    <s v="Sales agent"/>
    <n v="1"/>
    <d v="2023-01-01T00:00:00"/>
    <x v="1"/>
    <s v="Smartphone Model 2"/>
    <s v="BrandB"/>
    <n v="43.27"/>
    <n v="2"/>
    <x v="3"/>
    <s v="Smartphone"/>
  </r>
  <r>
    <s v="North"/>
    <n v="361.34"/>
    <n v="302"/>
    <s v="Marketplace"/>
    <n v="34"/>
    <d v="2023-03-27T00:00:00"/>
    <x v="2"/>
    <s v="Furniture Model 2"/>
    <s v="BrandD"/>
    <n v="3.75"/>
    <n v="10"/>
    <x v="1"/>
    <s v="Furniture"/>
  </r>
  <r>
    <s v="North"/>
    <n v="474.4"/>
    <n v="303"/>
    <s v="Online"/>
    <n v="32"/>
    <d v="2023-11-17T00:00:00"/>
    <x v="2"/>
    <s v="Kitchen Model 2"/>
    <s v="BrandC"/>
    <n v="163.13999999999999"/>
    <n v="8"/>
    <x v="3"/>
    <s v="Kitchen"/>
  </r>
  <r>
    <s v="South"/>
    <n v="114.58"/>
    <n v="304"/>
    <s v="Sales agent"/>
    <n v="27"/>
    <d v="2023-06-29T00:00:00"/>
    <x v="0"/>
    <s v="Printers Model 1"/>
    <s v="BrandA"/>
    <n v="36.47"/>
    <n v="23"/>
    <x v="4"/>
    <s v="Printers"/>
  </r>
  <r>
    <s v="Islands"/>
    <n v="104.76"/>
    <n v="305"/>
    <s v="Marketplace"/>
    <n v="4"/>
    <d v="2023-06-29T00:00:00"/>
    <x v="4"/>
    <s v="Outdoor Model 2"/>
    <s v="BrandA"/>
    <n v="21.27"/>
    <n v="16"/>
    <x v="3"/>
    <s v="Outdoor"/>
  </r>
  <r>
    <s v="South"/>
    <n v="308.23"/>
    <n v="306"/>
    <s v="Online"/>
    <n v="4"/>
    <d v="2023-10-09T00:00:00"/>
    <x v="1"/>
    <s v="Tablet Model 2"/>
    <s v="BrandB"/>
    <n v="184.01"/>
    <n v="6"/>
    <x v="0"/>
    <s v="Tablet"/>
  </r>
  <r>
    <s v="Islands"/>
    <n v="157.21"/>
    <n v="307"/>
    <s v="In-store"/>
    <n v="43"/>
    <d v="2023-12-12T00:00:00"/>
    <x v="4"/>
    <s v="Outdoor Model 2"/>
    <s v="BrandA"/>
    <n v="21.27"/>
    <n v="16"/>
    <x v="5"/>
    <s v="Outdoor"/>
  </r>
  <r>
    <s v="Central"/>
    <n v="276.51"/>
    <n v="308"/>
    <s v="Sales agent"/>
    <n v="43"/>
    <d v="2023-03-20T00:00:00"/>
    <x v="4"/>
    <s v="Outdoor Model 1"/>
    <s v="BrandD"/>
    <n v="223.53"/>
    <n v="15"/>
    <x v="0"/>
    <s v="Outdoor"/>
  </r>
  <r>
    <s v="North"/>
    <n v="16.55"/>
    <n v="309"/>
    <s v="Sales agent"/>
    <n v="26"/>
    <d v="2023-09-20T00:00:00"/>
    <x v="2"/>
    <s v="Kitchen Model 1"/>
    <s v="BrandB"/>
    <n v="27.76"/>
    <n v="7"/>
    <x v="1"/>
    <s v="Kitchen"/>
  </r>
  <r>
    <s v="Central"/>
    <n v="67.16"/>
    <n v="310"/>
    <s v="In-store"/>
    <n v="28"/>
    <d v="2023-06-12T00:00:00"/>
    <x v="4"/>
    <s v="Outdoor Model 2"/>
    <s v="BrandA"/>
    <n v="21.27"/>
    <n v="16"/>
    <x v="0"/>
    <s v="Outdoor"/>
  </r>
  <r>
    <s v="North"/>
    <n v="92.61"/>
    <n v="311"/>
    <s v="In-store"/>
    <n v="30"/>
    <d v="2023-02-18T00:00:00"/>
    <x v="3"/>
    <s v=" "/>
    <s v=" "/>
    <s v=" "/>
    <n v="28"/>
    <x v="5"/>
    <s v=" "/>
  </r>
  <r>
    <s v="South"/>
    <n v="161.88"/>
    <n v="312"/>
    <s v="Online"/>
    <n v="23"/>
    <d v="2023-02-05T00:00:00"/>
    <x v="1"/>
    <s v="Smartphone Model 1"/>
    <s v="BrandC"/>
    <n v="285.64999999999998"/>
    <n v="1"/>
    <x v="0"/>
    <s v="Smartphone"/>
  </r>
  <r>
    <s v="Islands"/>
    <n v="386.94"/>
    <n v="313"/>
    <s v="Online"/>
    <n v="14"/>
    <d v="2023-07-09T00:00:00"/>
    <x v="1"/>
    <s v="Laptop Model 1"/>
    <s v="BrandB"/>
    <n v="251.46"/>
    <n v="3"/>
    <x v="5"/>
    <s v="Laptop"/>
  </r>
  <r>
    <s v="North"/>
    <n v="427.68"/>
    <n v="314"/>
    <s v="In-store"/>
    <n v="15"/>
    <d v="2023-03-25T00:00:00"/>
    <x v="0"/>
    <s v="Stationery Model 2"/>
    <s v="BrandC"/>
    <n v="170.2"/>
    <n v="20"/>
    <x v="0"/>
    <s v="Stationery"/>
  </r>
  <r>
    <s v="Islands"/>
    <n v="22.02"/>
    <n v="315"/>
    <s v="Online"/>
    <n v="7"/>
    <d v="2023-02-18T00:00:00"/>
    <x v="3"/>
    <s v=" "/>
    <s v=" "/>
    <s v=" "/>
    <n v="25"/>
    <x v="1"/>
    <s v=" "/>
  </r>
  <r>
    <s v="South"/>
    <n v="397.9"/>
    <n v="316"/>
    <s v="Marketplace"/>
    <n v="5"/>
    <d v="2023-08-11T00:00:00"/>
    <x v="4"/>
    <s v="Outdoor Model 1"/>
    <s v="BrandD"/>
    <n v="223.53"/>
    <n v="15"/>
    <x v="5"/>
    <s v="Outdoor"/>
  </r>
  <r>
    <s v="South"/>
    <n v="103.69"/>
    <n v="317"/>
    <s v="Sales agent"/>
    <n v="47"/>
    <d v="2023-08-28T00:00:00"/>
    <x v="3"/>
    <s v=" "/>
    <s v=" "/>
    <s v=" "/>
    <n v="28"/>
    <x v="3"/>
    <s v=" "/>
  </r>
  <r>
    <s v="Central"/>
    <n v="107.82"/>
    <n v="318"/>
    <s v="In-store"/>
    <n v="21"/>
    <d v="2023-10-19T00:00:00"/>
    <x v="4"/>
    <s v="Outdoor Model 2"/>
    <s v="BrandA"/>
    <n v="21.27"/>
    <n v="16"/>
    <x v="1"/>
    <s v="Outdoor"/>
  </r>
  <r>
    <s v="South"/>
    <n v="275.79000000000002"/>
    <n v="319"/>
    <s v="Online"/>
    <n v="21"/>
    <d v="2023-12-26T00:00:00"/>
    <x v="1"/>
    <s v="Smartphone Model 2"/>
    <s v="BrandB"/>
    <n v="43.27"/>
    <n v="2"/>
    <x v="4"/>
    <s v="Smartphone"/>
  </r>
  <r>
    <s v="North"/>
    <n v="15.99"/>
    <n v="320"/>
    <s v="Online"/>
    <n v="40"/>
    <d v="2023-05-06T00:00:00"/>
    <x v="0"/>
    <s v="Office Furniture Model 1"/>
    <s v="BrandC"/>
    <n v="67.66"/>
    <n v="21"/>
    <x v="0"/>
    <s v="Office Furniture"/>
  </r>
  <r>
    <s v="North"/>
    <n v="493.29"/>
    <n v="321"/>
    <s v="Marketplace"/>
    <n v="41"/>
    <d v="2023-06-16T00:00:00"/>
    <x v="1"/>
    <s v="Laptop Model 1"/>
    <s v="BrandB"/>
    <n v="251.46"/>
    <n v="3"/>
    <x v="0"/>
    <s v="Laptop"/>
  </r>
  <r>
    <s v="South"/>
    <n v="267.58"/>
    <n v="322"/>
    <s v="In-store"/>
    <n v="18"/>
    <d v="2023-03-08T00:00:00"/>
    <x v="0"/>
    <s v="Printers Model 2"/>
    <s v="BrandA"/>
    <n v="272.52"/>
    <n v="24"/>
    <x v="1"/>
    <s v="Printers"/>
  </r>
  <r>
    <s v="Islands"/>
    <n v="133.5"/>
    <n v="323"/>
    <s v="In-store"/>
    <n v="47"/>
    <d v="2023-05-16T00:00:00"/>
    <x v="0"/>
    <s v="Office Furniture Model 2"/>
    <s v="BrandA"/>
    <n v="59.72"/>
    <n v="22"/>
    <x v="0"/>
    <s v="Office Furniture"/>
  </r>
  <r>
    <s v="Islands"/>
    <n v="317.39"/>
    <n v="324"/>
    <s v="Sales agent"/>
    <n v="17"/>
    <d v="2023-01-29T00:00:00"/>
    <x v="0"/>
    <s v="Printers Model 2"/>
    <s v="BrandA"/>
    <n v="272.52"/>
    <n v="24"/>
    <x v="3"/>
    <s v="Printers"/>
  </r>
  <r>
    <s v="North"/>
    <n v="98.84"/>
    <n v="325"/>
    <s v="Sales agent"/>
    <n v="46"/>
    <d v="2023-08-23T00:00:00"/>
    <x v="4"/>
    <s v="Fitness Model 2"/>
    <s v="BrandA"/>
    <n v="63.68"/>
    <n v="14"/>
    <x v="5"/>
    <s v="Fitness"/>
  </r>
  <r>
    <s v="Central"/>
    <n v="144.32"/>
    <n v="326"/>
    <s v="In-store"/>
    <n v="22"/>
    <d v="2023-01-07T00:00:00"/>
    <x v="2"/>
    <s v="Kitchen Model 1"/>
    <s v="BrandB"/>
    <n v="27.76"/>
    <n v="7"/>
    <x v="3"/>
    <s v="Kitchen"/>
  </r>
  <r>
    <s v="North"/>
    <n v="444.24"/>
    <n v="327"/>
    <s v="Marketplace"/>
    <n v="25"/>
    <d v="2023-02-25T00:00:00"/>
    <x v="3"/>
    <s v=" "/>
    <s v=" "/>
    <s v=" "/>
    <n v="26"/>
    <x v="1"/>
    <s v=" "/>
  </r>
  <r>
    <s v="South"/>
    <n v="350.01"/>
    <n v="328"/>
    <s v="Online"/>
    <n v="15"/>
    <d v="2023-01-03T00:00:00"/>
    <x v="0"/>
    <s v="Stationery Model 1"/>
    <s v="BrandB"/>
    <n v="73"/>
    <n v="19"/>
    <x v="0"/>
    <s v="Stationery"/>
  </r>
  <r>
    <s v="South"/>
    <n v="52.82"/>
    <n v="329"/>
    <s v="Marketplace"/>
    <n v="48"/>
    <d v="2023-11-02T00:00:00"/>
    <x v="3"/>
    <s v=" "/>
    <s v=" "/>
    <s v=" "/>
    <n v="27"/>
    <x v="1"/>
    <s v=" "/>
  </r>
  <r>
    <s v="North"/>
    <n v="334.63"/>
    <n v="330"/>
    <s v="Sales agent"/>
    <n v="24"/>
    <d v="2023-08-11T00:00:00"/>
    <x v="2"/>
    <s v="Cleaning Model 2"/>
    <s v="BrandB"/>
    <n v="209.52"/>
    <n v="12"/>
    <x v="2"/>
    <s v="Cleaning"/>
  </r>
  <r>
    <s v="Islands"/>
    <n v="239.46"/>
    <n v="331"/>
    <s v="In-store"/>
    <n v="34"/>
    <d v="2023-10-01T00:00:00"/>
    <x v="1"/>
    <s v="Tablet Model 1"/>
    <s v="BrandD"/>
    <n v="55.43"/>
    <n v="5"/>
    <x v="4"/>
    <s v="Tablet"/>
  </r>
  <r>
    <s v="North"/>
    <n v="443.16"/>
    <n v="332"/>
    <s v="In-store"/>
    <n v="4"/>
    <d v="2023-12-10T00:00:00"/>
    <x v="1"/>
    <s v="Tablet Model 2"/>
    <s v="BrandB"/>
    <n v="184.01"/>
    <n v="6"/>
    <x v="1"/>
    <s v="Tablet"/>
  </r>
  <r>
    <s v="North"/>
    <n v="142.13999999999999"/>
    <n v="333"/>
    <s v="In-store"/>
    <n v="3"/>
    <d v="2023-03-03T00:00:00"/>
    <x v="1"/>
    <s v="Tablet Model 1"/>
    <s v="BrandD"/>
    <n v="55.43"/>
    <n v="5"/>
    <x v="5"/>
    <s v="Tablet"/>
  </r>
  <r>
    <s v="Central"/>
    <n v="70.349999999999994"/>
    <n v="334"/>
    <s v="Sales agent"/>
    <n v="50"/>
    <d v="2023-03-04T00:00:00"/>
    <x v="3"/>
    <s v=" "/>
    <s v=" "/>
    <s v=" "/>
    <n v="25"/>
    <x v="1"/>
    <s v=" "/>
  </r>
  <r>
    <s v="South"/>
    <n v="144.38"/>
    <n v="335"/>
    <s v="In-store"/>
    <n v="44"/>
    <d v="2023-08-09T00:00:00"/>
    <x v="3"/>
    <s v=" "/>
    <s v=" "/>
    <s v=" "/>
    <n v="28"/>
    <x v="5"/>
    <s v=" "/>
  </r>
  <r>
    <s v="South"/>
    <n v="50.71"/>
    <n v="336"/>
    <s v="Sales agent"/>
    <n v="16"/>
    <d v="2023-05-05T00:00:00"/>
    <x v="1"/>
    <s v="Smartphone Model 1"/>
    <s v="BrandC"/>
    <n v="285.64999999999998"/>
    <n v="1"/>
    <x v="0"/>
    <s v="Smartphone"/>
  </r>
  <r>
    <s v="North"/>
    <n v="55.19"/>
    <n v="337"/>
    <s v="Marketplace"/>
    <n v="38"/>
    <d v="2023-12-09T00:00:00"/>
    <x v="2"/>
    <s v="Furniture Model 1"/>
    <s v="BrandD"/>
    <n v="7.21"/>
    <n v="9"/>
    <x v="4"/>
    <s v="Furniture"/>
  </r>
  <r>
    <s v="Central"/>
    <n v="78.31"/>
    <n v="338"/>
    <s v="Sales agent"/>
    <n v="24"/>
    <d v="2023-08-16T00:00:00"/>
    <x v="2"/>
    <s v="Furniture Model 1"/>
    <s v="BrandD"/>
    <n v="7.21"/>
    <n v="9"/>
    <x v="3"/>
    <s v="Furniture"/>
  </r>
  <r>
    <s v="Islands"/>
    <n v="465.64"/>
    <n v="339"/>
    <s v="Online"/>
    <n v="33"/>
    <d v="2023-01-29T00:00:00"/>
    <x v="3"/>
    <s v=" "/>
    <s v=" "/>
    <s v=" "/>
    <n v="30"/>
    <x v="4"/>
    <s v=" "/>
  </r>
  <r>
    <s v="South"/>
    <n v="331"/>
    <n v="340"/>
    <s v="Marketplace"/>
    <n v="32"/>
    <d v="2023-09-05T00:00:00"/>
    <x v="0"/>
    <s v="Printers Model 1"/>
    <s v="BrandA"/>
    <n v="36.47"/>
    <n v="23"/>
    <x v="1"/>
    <s v="Printers"/>
  </r>
  <r>
    <s v="South"/>
    <n v="193.52"/>
    <n v="341"/>
    <s v="Sales agent"/>
    <n v="4"/>
    <d v="2023-01-14T00:00:00"/>
    <x v="3"/>
    <s v=" "/>
    <s v=" "/>
    <s v=" "/>
    <n v="28"/>
    <x v="3"/>
    <s v=" "/>
  </r>
  <r>
    <s v="Central"/>
    <n v="152.46"/>
    <n v="342"/>
    <s v="Online"/>
    <n v="23"/>
    <d v="2023-01-31T00:00:00"/>
    <x v="2"/>
    <s v="Kitchen Model 2"/>
    <s v="BrandC"/>
    <n v="163.13999999999999"/>
    <n v="8"/>
    <x v="0"/>
    <s v="Kitchen"/>
  </r>
  <r>
    <s v="North"/>
    <n v="53.67"/>
    <n v="343"/>
    <s v="Sales agent"/>
    <n v="21"/>
    <d v="2023-06-13T00:00:00"/>
    <x v="4"/>
    <s v="Outdoor Model 1"/>
    <s v="BrandD"/>
    <n v="223.53"/>
    <n v="15"/>
    <x v="3"/>
    <s v="Outdoor"/>
  </r>
  <r>
    <s v="North"/>
    <n v="454.94"/>
    <n v="344"/>
    <s v="In-store"/>
    <n v="24"/>
    <d v="2023-12-18T00:00:00"/>
    <x v="0"/>
    <s v="Stationery Model 2"/>
    <s v="BrandC"/>
    <n v="170.2"/>
    <n v="20"/>
    <x v="5"/>
    <s v="Stationery"/>
  </r>
  <r>
    <s v="Islands"/>
    <n v="10.33"/>
    <n v="345"/>
    <s v="In-store"/>
    <n v="31"/>
    <d v="2023-01-13T00:00:00"/>
    <x v="3"/>
    <s v=" "/>
    <s v=" "/>
    <s v=" "/>
    <n v="28"/>
    <x v="0"/>
    <s v=" "/>
  </r>
  <r>
    <s v="North"/>
    <n v="35.76"/>
    <n v="346"/>
    <s v="In-store"/>
    <n v="4"/>
    <d v="2023-11-21T00:00:00"/>
    <x v="0"/>
    <s v="Office Furniture Model 1"/>
    <s v="BrandC"/>
    <n v="67.66"/>
    <n v="21"/>
    <x v="1"/>
    <s v="Office Furniture"/>
  </r>
  <r>
    <s v="South"/>
    <n v="476.85"/>
    <n v="347"/>
    <s v="Online"/>
    <n v="16"/>
    <d v="2023-10-30T00:00:00"/>
    <x v="1"/>
    <s v="Tablet Model 1"/>
    <s v="BrandD"/>
    <n v="55.43"/>
    <n v="5"/>
    <x v="2"/>
    <s v="Tablet"/>
  </r>
  <r>
    <s v="North"/>
    <n v="141.08000000000001"/>
    <n v="348"/>
    <s v="Online"/>
    <n v="28"/>
    <d v="2023-03-26T00:00:00"/>
    <x v="2"/>
    <s v="Furniture Model 2"/>
    <s v="BrandD"/>
    <n v="3.75"/>
    <n v="10"/>
    <x v="2"/>
    <s v="Furniture"/>
  </r>
  <r>
    <s v="Islands"/>
    <n v="496.17"/>
    <n v="349"/>
    <s v="Marketplace"/>
    <n v="2"/>
    <d v="2023-12-22T00:00:00"/>
    <x v="3"/>
    <s v=" "/>
    <s v=" "/>
    <s v=" "/>
    <n v="25"/>
    <x v="1"/>
    <s v=" "/>
  </r>
  <r>
    <s v="Islands"/>
    <n v="54.45"/>
    <n v="350"/>
    <s v="In-store"/>
    <n v="40"/>
    <d v="2023-08-09T00:00:00"/>
    <x v="3"/>
    <s v=" "/>
    <s v=" "/>
    <s v=" "/>
    <n v="30"/>
    <x v="5"/>
    <s v=" "/>
  </r>
  <r>
    <s v="North"/>
    <n v="17.61"/>
    <n v="351"/>
    <s v="Online"/>
    <n v="15"/>
    <d v="2023-12-29T00:00:00"/>
    <x v="1"/>
    <s v="Laptop Model 2"/>
    <s v="BrandB"/>
    <n v="65.05"/>
    <n v="4"/>
    <x v="1"/>
    <s v="Laptop"/>
  </r>
  <r>
    <s v="Central"/>
    <n v="283.45999999999998"/>
    <n v="352"/>
    <s v="Marketplace"/>
    <n v="10"/>
    <d v="2023-07-07T00:00:00"/>
    <x v="0"/>
    <s v="Printers Model 1"/>
    <s v="BrandA"/>
    <n v="36.47"/>
    <n v="23"/>
    <x v="4"/>
    <s v="Printers"/>
  </r>
  <r>
    <s v="Islands"/>
    <n v="419.45"/>
    <n v="353"/>
    <s v="In-store"/>
    <n v="32"/>
    <d v="2023-05-26T00:00:00"/>
    <x v="1"/>
    <s v="Smartphone Model 2"/>
    <s v="BrandB"/>
    <n v="43.27"/>
    <n v="2"/>
    <x v="1"/>
    <s v="Smartphone"/>
  </r>
  <r>
    <s v="Central"/>
    <n v="89.65"/>
    <n v="354"/>
    <s v="In-store"/>
    <n v="31"/>
    <d v="2023-07-23T00:00:00"/>
    <x v="4"/>
    <s v="Clothing Model 1"/>
    <s v="BrandD"/>
    <n v="111.57"/>
    <n v="17"/>
    <x v="3"/>
    <s v="Clothing"/>
  </r>
  <r>
    <s v="Central"/>
    <n v="148.47999999999999"/>
    <n v="355"/>
    <s v="Sales agent"/>
    <n v="2"/>
    <d v="2023-06-09T00:00:00"/>
    <x v="4"/>
    <s v="Fitness Model 1"/>
    <s v="BrandB"/>
    <n v="227.4"/>
    <n v="13"/>
    <x v="1"/>
    <s v="Fitness"/>
  </r>
  <r>
    <s v="South"/>
    <n v="217.97"/>
    <n v="356"/>
    <s v="Sales agent"/>
    <n v="46"/>
    <d v="2023-01-14T00:00:00"/>
    <x v="2"/>
    <s v="Furniture Model 2"/>
    <s v="BrandD"/>
    <n v="3.75"/>
    <n v="10"/>
    <x v="3"/>
    <s v="Furniture"/>
  </r>
  <r>
    <s v="South"/>
    <n v="22.48"/>
    <n v="357"/>
    <s v="Sales agent"/>
    <n v="45"/>
    <d v="2023-08-23T00:00:00"/>
    <x v="3"/>
    <s v=" "/>
    <s v=" "/>
    <s v=" "/>
    <n v="25"/>
    <x v="5"/>
    <s v=" "/>
  </r>
  <r>
    <s v="Central"/>
    <n v="350.43"/>
    <n v="358"/>
    <s v="Marketplace"/>
    <n v="6"/>
    <d v="2023-01-05T00:00:00"/>
    <x v="2"/>
    <s v="Kitchen Model 2"/>
    <s v="BrandC"/>
    <n v="163.13999999999999"/>
    <n v="8"/>
    <x v="3"/>
    <s v="Kitchen"/>
  </r>
  <r>
    <s v="South"/>
    <n v="136.94999999999999"/>
    <n v="359"/>
    <s v="Marketplace"/>
    <n v="8"/>
    <d v="2023-06-06T00:00:00"/>
    <x v="4"/>
    <s v="Clothing Model 1"/>
    <s v="BrandD"/>
    <n v="111.57"/>
    <n v="17"/>
    <x v="0"/>
    <s v="Clothing"/>
  </r>
  <r>
    <s v="Islands"/>
    <n v="166.19"/>
    <n v="360"/>
    <s v="Sales agent"/>
    <n v="37"/>
    <d v="2023-11-04T00:00:00"/>
    <x v="1"/>
    <s v="Laptop Model 1"/>
    <s v="BrandB"/>
    <n v="251.46"/>
    <n v="3"/>
    <x v="3"/>
    <s v="Laptop"/>
  </r>
  <r>
    <s v="Islands"/>
    <n v="453.44"/>
    <n v="361"/>
    <s v="Online"/>
    <n v="16"/>
    <d v="2023-12-03T00:00:00"/>
    <x v="3"/>
    <s v=" "/>
    <s v=" "/>
    <s v=" "/>
    <n v="25"/>
    <x v="1"/>
    <s v=" "/>
  </r>
  <r>
    <s v="South"/>
    <n v="12.43"/>
    <n v="362"/>
    <s v="Online"/>
    <n v="36"/>
    <d v="2023-04-27T00:00:00"/>
    <x v="2"/>
    <s v="Furniture Model 1"/>
    <s v="BrandD"/>
    <n v="7.21"/>
    <n v="9"/>
    <x v="0"/>
    <s v="Furniture"/>
  </r>
  <r>
    <s v="South"/>
    <n v="106.83"/>
    <n v="363"/>
    <s v="Online"/>
    <n v="28"/>
    <d v="2023-07-06T00:00:00"/>
    <x v="1"/>
    <s v="Tablet Model 2"/>
    <s v="BrandB"/>
    <n v="184.01"/>
    <n v="6"/>
    <x v="0"/>
    <s v="Tablet"/>
  </r>
  <r>
    <s v="Islands"/>
    <n v="11.1"/>
    <n v="364"/>
    <s v="In-store"/>
    <n v="43"/>
    <d v="2023-07-29T00:00:00"/>
    <x v="1"/>
    <s v="Tablet Model 2"/>
    <s v="BrandB"/>
    <n v="184.01"/>
    <n v="6"/>
    <x v="4"/>
    <s v="Tablet"/>
  </r>
  <r>
    <s v="South"/>
    <n v="279.88"/>
    <n v="365"/>
    <s v="Online"/>
    <n v="34"/>
    <d v="2023-12-10T00:00:00"/>
    <x v="4"/>
    <s v="Outdoor Model 1"/>
    <s v="BrandD"/>
    <n v="223.53"/>
    <n v="15"/>
    <x v="3"/>
    <s v="Outdoor"/>
  </r>
  <r>
    <s v="North"/>
    <n v="361.65"/>
    <n v="366"/>
    <s v="Online"/>
    <n v="50"/>
    <d v="2023-04-16T00:00:00"/>
    <x v="2"/>
    <s v="Kitchen Model 1"/>
    <s v="BrandB"/>
    <n v="27.76"/>
    <n v="7"/>
    <x v="4"/>
    <s v="Kitchen"/>
  </r>
  <r>
    <s v="Central"/>
    <n v="473.5"/>
    <n v="367"/>
    <s v="Sales agent"/>
    <n v="42"/>
    <d v="2023-09-01T00:00:00"/>
    <x v="4"/>
    <s v="Clothing Model 1"/>
    <s v="BrandD"/>
    <n v="111.57"/>
    <n v="17"/>
    <x v="0"/>
    <s v="Clothing"/>
  </r>
  <r>
    <s v="North"/>
    <n v="92.71"/>
    <n v="368"/>
    <s v="Sales agent"/>
    <n v="32"/>
    <d v="2023-08-07T00:00:00"/>
    <x v="2"/>
    <s v="Kitchen Model 2"/>
    <s v="BrandC"/>
    <n v="163.13999999999999"/>
    <n v="8"/>
    <x v="4"/>
    <s v="Kitchen"/>
  </r>
  <r>
    <s v="North"/>
    <n v="278.83999999999997"/>
    <n v="369"/>
    <s v="Marketplace"/>
    <n v="32"/>
    <d v="2023-07-08T00:00:00"/>
    <x v="0"/>
    <s v="Office Furniture Model 2"/>
    <s v="BrandA"/>
    <n v="59.72"/>
    <n v="22"/>
    <x v="5"/>
    <s v="Office Furniture"/>
  </r>
  <r>
    <s v="Central"/>
    <n v="134.62"/>
    <n v="370"/>
    <s v="Sales agent"/>
    <n v="27"/>
    <d v="2023-10-11T00:00:00"/>
    <x v="0"/>
    <s v="Office Furniture Model 1"/>
    <s v="BrandC"/>
    <n v="67.66"/>
    <n v="21"/>
    <x v="5"/>
    <s v="Office Furniture"/>
  </r>
  <r>
    <s v="North"/>
    <n v="35.93"/>
    <n v="371"/>
    <s v="In-store"/>
    <n v="17"/>
    <d v="2023-06-15T00:00:00"/>
    <x v="2"/>
    <s v="Furniture Model 1"/>
    <s v="BrandD"/>
    <n v="7.21"/>
    <n v="9"/>
    <x v="4"/>
    <s v="Furniture"/>
  </r>
  <r>
    <s v="South"/>
    <n v="257.16000000000003"/>
    <n v="372"/>
    <s v="In-store"/>
    <n v="25"/>
    <d v="2023-03-24T00:00:00"/>
    <x v="2"/>
    <s v="Furniture Model 2"/>
    <s v="BrandD"/>
    <n v="3.75"/>
    <n v="10"/>
    <x v="2"/>
    <s v="Furniture"/>
  </r>
  <r>
    <s v="Islands"/>
    <n v="138.33000000000001"/>
    <n v="373"/>
    <s v="Sales agent"/>
    <n v="49"/>
    <d v="2023-07-31T00:00:00"/>
    <x v="3"/>
    <s v=" "/>
    <s v=" "/>
    <s v=" "/>
    <n v="28"/>
    <x v="0"/>
    <s v=" "/>
  </r>
  <r>
    <s v="Central"/>
    <n v="373.76"/>
    <n v="374"/>
    <s v="In-store"/>
    <n v="39"/>
    <d v="2023-06-28T00:00:00"/>
    <x v="2"/>
    <s v="Kitchen Model 1"/>
    <s v="BrandB"/>
    <n v="27.76"/>
    <n v="7"/>
    <x v="3"/>
    <s v="Kitchen"/>
  </r>
  <r>
    <s v="Central"/>
    <n v="123.08"/>
    <n v="375"/>
    <s v="Online"/>
    <n v="1"/>
    <d v="2023-01-23T00:00:00"/>
    <x v="4"/>
    <s v="Outdoor Model 1"/>
    <s v="BrandD"/>
    <n v="223.53"/>
    <n v="15"/>
    <x v="5"/>
    <s v="Outdoor"/>
  </r>
  <r>
    <s v="North"/>
    <n v="481.43"/>
    <n v="376"/>
    <s v="Online"/>
    <n v="46"/>
    <d v="2023-01-11T00:00:00"/>
    <x v="1"/>
    <s v="Tablet Model 2"/>
    <s v="BrandB"/>
    <n v="184.01"/>
    <n v="6"/>
    <x v="3"/>
    <s v="Tablet"/>
  </r>
  <r>
    <s v="South"/>
    <n v="498.45"/>
    <n v="377"/>
    <s v="Marketplace"/>
    <n v="50"/>
    <d v="2023-01-19T00:00:00"/>
    <x v="4"/>
    <s v="Fitness Model 1"/>
    <s v="BrandB"/>
    <n v="227.4"/>
    <n v="13"/>
    <x v="2"/>
    <s v="Fitness"/>
  </r>
  <r>
    <s v="North"/>
    <n v="243.96"/>
    <n v="378"/>
    <s v="Marketplace"/>
    <n v="8"/>
    <d v="2023-09-23T00:00:00"/>
    <x v="2"/>
    <s v="Kitchen Model 1"/>
    <s v="BrandB"/>
    <n v="27.76"/>
    <n v="7"/>
    <x v="1"/>
    <s v="Kitchen"/>
  </r>
  <r>
    <s v="North"/>
    <n v="384.92"/>
    <n v="379"/>
    <s v="Marketplace"/>
    <n v="50"/>
    <d v="2023-01-13T00:00:00"/>
    <x v="3"/>
    <s v=" "/>
    <s v=" "/>
    <s v=" "/>
    <n v="25"/>
    <x v="0"/>
    <s v=" "/>
  </r>
  <r>
    <s v="North"/>
    <n v="111.46"/>
    <n v="380"/>
    <s v="Marketplace"/>
    <n v="8"/>
    <d v="2023-07-22T00:00:00"/>
    <x v="0"/>
    <s v="Printers Model 1"/>
    <s v="BrandA"/>
    <n v="36.47"/>
    <n v="23"/>
    <x v="4"/>
    <s v="Printers"/>
  </r>
  <r>
    <s v="Central"/>
    <n v="241.19"/>
    <n v="381"/>
    <s v="Marketplace"/>
    <n v="8"/>
    <d v="2023-09-01T00:00:00"/>
    <x v="3"/>
    <s v=" "/>
    <s v=" "/>
    <s v=" "/>
    <n v="25"/>
    <x v="1"/>
    <s v=" "/>
  </r>
  <r>
    <s v="North"/>
    <n v="419.91"/>
    <n v="382"/>
    <s v="Online"/>
    <n v="22"/>
    <d v="2023-11-07T00:00:00"/>
    <x v="0"/>
    <s v="Stationery Model 1"/>
    <s v="BrandB"/>
    <n v="73"/>
    <n v="19"/>
    <x v="5"/>
    <s v="Stationery"/>
  </r>
  <r>
    <s v="North"/>
    <n v="359.62"/>
    <n v="383"/>
    <s v="Online"/>
    <n v="25"/>
    <d v="2023-09-26T00:00:00"/>
    <x v="4"/>
    <s v="Outdoor Model 2"/>
    <s v="BrandA"/>
    <n v="21.27"/>
    <n v="16"/>
    <x v="0"/>
    <s v="Outdoor"/>
  </r>
  <r>
    <s v="Central"/>
    <n v="180.94"/>
    <n v="384"/>
    <s v="Sales agent"/>
    <n v="41"/>
    <d v="2023-03-10T00:00:00"/>
    <x v="4"/>
    <s v="Outdoor Model 1"/>
    <s v="BrandD"/>
    <n v="223.53"/>
    <n v="15"/>
    <x v="1"/>
    <s v="Outdoor"/>
  </r>
  <r>
    <s v="North"/>
    <n v="71.59"/>
    <n v="385"/>
    <s v="Online"/>
    <n v="18"/>
    <d v="2023-04-05T00:00:00"/>
    <x v="4"/>
    <s v="Outdoor Model 2"/>
    <s v="BrandA"/>
    <n v="21.27"/>
    <n v="16"/>
    <x v="3"/>
    <s v="Outdoor"/>
  </r>
  <r>
    <s v="Islands"/>
    <n v="292.92"/>
    <n v="386"/>
    <s v="Sales agent"/>
    <n v="13"/>
    <d v="2023-08-16T00:00:00"/>
    <x v="1"/>
    <s v="Laptop Model 1"/>
    <s v="BrandB"/>
    <n v="251.46"/>
    <n v="3"/>
    <x v="1"/>
    <s v="Laptop"/>
  </r>
  <r>
    <s v="North"/>
    <n v="262.89999999999998"/>
    <n v="387"/>
    <s v="Marketplace"/>
    <n v="14"/>
    <d v="2023-08-20T00:00:00"/>
    <x v="0"/>
    <s v="Printers Model 1"/>
    <s v="BrandA"/>
    <n v="36.47"/>
    <n v="23"/>
    <x v="2"/>
    <s v="Printers"/>
  </r>
  <r>
    <s v="South"/>
    <n v="87.26"/>
    <n v="388"/>
    <s v="Online"/>
    <n v="28"/>
    <d v="2023-04-20T00:00:00"/>
    <x v="4"/>
    <s v="Outdoor Model 2"/>
    <s v="BrandA"/>
    <n v="21.27"/>
    <n v="16"/>
    <x v="5"/>
    <s v="Outdoor"/>
  </r>
  <r>
    <s v="North"/>
    <n v="342.61"/>
    <n v="389"/>
    <s v="Marketplace"/>
    <n v="30"/>
    <d v="2023-01-06T00:00:00"/>
    <x v="1"/>
    <s v="Tablet Model 2"/>
    <s v="BrandB"/>
    <n v="184.01"/>
    <n v="6"/>
    <x v="2"/>
    <s v="Tablet"/>
  </r>
  <r>
    <s v="North"/>
    <n v="449.24"/>
    <n v="390"/>
    <s v="In-store"/>
    <n v="9"/>
    <d v="2023-07-19T00:00:00"/>
    <x v="0"/>
    <s v="Stationery Model 2"/>
    <s v="BrandC"/>
    <n v="170.2"/>
    <n v="20"/>
    <x v="4"/>
    <s v="Stationery"/>
  </r>
  <r>
    <s v="Central"/>
    <n v="223.29"/>
    <n v="391"/>
    <s v="In-store"/>
    <n v="32"/>
    <d v="2023-09-04T00:00:00"/>
    <x v="4"/>
    <s v="Fitness Model 1"/>
    <s v="BrandB"/>
    <n v="227.4"/>
    <n v="13"/>
    <x v="5"/>
    <s v="Fitness"/>
  </r>
  <r>
    <s v="North"/>
    <n v="473.48"/>
    <n v="392"/>
    <s v="In-store"/>
    <n v="10"/>
    <d v="2023-08-27T00:00:00"/>
    <x v="3"/>
    <s v=" "/>
    <s v=" "/>
    <s v=" "/>
    <n v="27"/>
    <x v="4"/>
    <s v=" "/>
  </r>
  <r>
    <s v="North"/>
    <n v="261.38"/>
    <n v="393"/>
    <s v="Sales agent"/>
    <n v="45"/>
    <d v="2023-08-10T00:00:00"/>
    <x v="2"/>
    <s v="Furniture Model 2"/>
    <s v="BrandD"/>
    <n v="3.75"/>
    <n v="10"/>
    <x v="5"/>
    <s v="Furniture"/>
  </r>
  <r>
    <s v="North"/>
    <n v="330.69"/>
    <n v="394"/>
    <s v="Sales agent"/>
    <n v="23"/>
    <d v="2023-05-23T00:00:00"/>
    <x v="4"/>
    <s v="Fitness Model 1"/>
    <s v="BrandB"/>
    <n v="227.4"/>
    <n v="13"/>
    <x v="4"/>
    <s v="Fitness"/>
  </r>
  <r>
    <s v="North"/>
    <n v="252.05"/>
    <n v="395"/>
    <s v="In-store"/>
    <n v="16"/>
    <d v="2023-08-26T00:00:00"/>
    <x v="3"/>
    <s v=" "/>
    <s v=" "/>
    <s v=" "/>
    <n v="30"/>
    <x v="0"/>
    <s v=" "/>
  </r>
  <r>
    <s v="North"/>
    <n v="414.69"/>
    <n v="396"/>
    <s v="Sales agent"/>
    <n v="13"/>
    <d v="2023-10-04T00:00:00"/>
    <x v="2"/>
    <s v="Kitchen Model 1"/>
    <s v="BrandB"/>
    <n v="27.76"/>
    <n v="7"/>
    <x v="5"/>
    <s v="Kitchen"/>
  </r>
  <r>
    <s v="South"/>
    <n v="167.8"/>
    <n v="397"/>
    <s v="Online"/>
    <n v="47"/>
    <d v="2023-09-08T00:00:00"/>
    <x v="3"/>
    <s v=" "/>
    <s v=" "/>
    <s v=" "/>
    <n v="25"/>
    <x v="4"/>
    <s v=" "/>
  </r>
  <r>
    <s v="Islands"/>
    <n v="158.26"/>
    <n v="398"/>
    <s v="Online"/>
    <n v="13"/>
    <d v="2023-03-04T00:00:00"/>
    <x v="3"/>
    <s v=" "/>
    <s v=" "/>
    <s v=" "/>
    <n v="26"/>
    <x v="0"/>
    <s v=" "/>
  </r>
  <r>
    <s v="South"/>
    <n v="333.43"/>
    <n v="399"/>
    <s v="Sales agent"/>
    <n v="26"/>
    <d v="2023-02-27T00:00:00"/>
    <x v="3"/>
    <s v=" "/>
    <s v=" "/>
    <s v=" "/>
    <n v="26"/>
    <x v="2"/>
    <s v=" "/>
  </r>
  <r>
    <s v="South"/>
    <n v="59.92"/>
    <n v="400"/>
    <s v="In-store"/>
    <n v="22"/>
    <d v="2023-11-01T00:00:00"/>
    <x v="0"/>
    <s v="Office Furniture Model 2"/>
    <s v="BrandA"/>
    <n v="59.72"/>
    <n v="22"/>
    <x v="3"/>
    <s v="Office Furniture"/>
  </r>
  <r>
    <s v="Central"/>
    <n v="79.62"/>
    <n v="401"/>
    <s v="Marketplace"/>
    <n v="23"/>
    <d v="2023-10-25T00:00:00"/>
    <x v="0"/>
    <s v="Stationery Model 2"/>
    <s v="BrandC"/>
    <n v="170.2"/>
    <n v="20"/>
    <x v="0"/>
    <s v="Stationery"/>
  </r>
  <r>
    <s v="Islands"/>
    <n v="497.9"/>
    <n v="402"/>
    <s v="Sales agent"/>
    <n v="8"/>
    <d v="2023-08-18T00:00:00"/>
    <x v="1"/>
    <s v="Smartphone Model 2"/>
    <s v="BrandB"/>
    <n v="43.27"/>
    <n v="2"/>
    <x v="1"/>
    <s v="Smartphone"/>
  </r>
  <r>
    <s v="South"/>
    <n v="83.91"/>
    <n v="403"/>
    <s v="In-store"/>
    <n v="44"/>
    <d v="2023-11-05T00:00:00"/>
    <x v="3"/>
    <s v=" "/>
    <s v=" "/>
    <s v=" "/>
    <n v="27"/>
    <x v="0"/>
    <s v=" "/>
  </r>
  <r>
    <s v="Islands"/>
    <n v="483.16"/>
    <n v="404"/>
    <s v="Marketplace"/>
    <n v="31"/>
    <d v="2023-06-03T00:00:00"/>
    <x v="4"/>
    <s v="Outdoor Model 2"/>
    <s v="BrandA"/>
    <n v="21.27"/>
    <n v="16"/>
    <x v="3"/>
    <s v="Outdoor"/>
  </r>
  <r>
    <s v="Central"/>
    <n v="113.11"/>
    <n v="405"/>
    <s v="Online"/>
    <n v="11"/>
    <d v="2023-03-05T00:00:00"/>
    <x v="1"/>
    <s v="Smartphone Model 2"/>
    <s v="BrandB"/>
    <n v="43.27"/>
    <n v="2"/>
    <x v="4"/>
    <s v="Smartphone"/>
  </r>
  <r>
    <s v="South"/>
    <n v="121.34"/>
    <n v="406"/>
    <s v="Online"/>
    <n v="16"/>
    <d v="2023-09-03T00:00:00"/>
    <x v="0"/>
    <s v="Office Furniture Model 1"/>
    <s v="BrandC"/>
    <n v="67.66"/>
    <n v="21"/>
    <x v="1"/>
    <s v="Office Furniture"/>
  </r>
  <r>
    <s v="Islands"/>
    <n v="116.68"/>
    <n v="407"/>
    <s v="Marketplace"/>
    <n v="17"/>
    <d v="2023-04-22T00:00:00"/>
    <x v="1"/>
    <s v="Tablet Model 1"/>
    <s v="BrandD"/>
    <n v="55.43"/>
    <n v="5"/>
    <x v="3"/>
    <s v="Tablet"/>
  </r>
  <r>
    <s v="South"/>
    <n v="119.92"/>
    <n v="408"/>
    <s v="Sales agent"/>
    <n v="48"/>
    <d v="2023-08-20T00:00:00"/>
    <x v="3"/>
    <s v=" "/>
    <s v=" "/>
    <s v=" "/>
    <n v="27"/>
    <x v="5"/>
    <s v=" "/>
  </r>
  <r>
    <s v="Islands"/>
    <n v="282.64"/>
    <n v="409"/>
    <s v="Online"/>
    <n v="12"/>
    <d v="2023-12-11T00:00:00"/>
    <x v="2"/>
    <s v="Cleaning Model 2"/>
    <s v="BrandB"/>
    <n v="209.52"/>
    <n v="12"/>
    <x v="0"/>
    <s v="Cleaning"/>
  </r>
  <r>
    <s v="Islands"/>
    <n v="24.11"/>
    <n v="410"/>
    <s v="In-store"/>
    <n v="17"/>
    <d v="2023-03-15T00:00:00"/>
    <x v="3"/>
    <s v=" "/>
    <s v=" "/>
    <s v=" "/>
    <n v="28"/>
    <x v="3"/>
    <s v=" "/>
  </r>
  <r>
    <s v="North"/>
    <n v="28.32"/>
    <n v="411"/>
    <s v="In-store"/>
    <n v="40"/>
    <d v="2023-06-24T00:00:00"/>
    <x v="4"/>
    <s v="Outdoor Model 1"/>
    <s v="BrandD"/>
    <n v="223.53"/>
    <n v="15"/>
    <x v="1"/>
    <s v="Outdoor"/>
  </r>
  <r>
    <s v="Islands"/>
    <n v="121.97"/>
    <n v="412"/>
    <s v="Sales agent"/>
    <n v="49"/>
    <d v="2023-06-28T00:00:00"/>
    <x v="2"/>
    <s v="Kitchen Model 2"/>
    <s v="BrandC"/>
    <n v="163.13999999999999"/>
    <n v="8"/>
    <x v="2"/>
    <s v="Kitchen"/>
  </r>
  <r>
    <s v="Islands"/>
    <n v="20.18"/>
    <n v="413"/>
    <s v="Online"/>
    <n v="7"/>
    <d v="2023-03-19T00:00:00"/>
    <x v="3"/>
    <s v=" "/>
    <s v=" "/>
    <s v=" "/>
    <n v="30"/>
    <x v="1"/>
    <s v=" "/>
  </r>
  <r>
    <s v="Central"/>
    <n v="352.78"/>
    <n v="414"/>
    <s v="Sales agent"/>
    <n v="40"/>
    <d v="2023-06-25T00:00:00"/>
    <x v="2"/>
    <s v="Cleaning Model 2"/>
    <s v="BrandB"/>
    <n v="209.52"/>
    <n v="12"/>
    <x v="0"/>
    <s v="Cleaning"/>
  </r>
  <r>
    <s v="Islands"/>
    <n v="107.42"/>
    <n v="415"/>
    <s v="Marketplace"/>
    <n v="22"/>
    <d v="2023-02-10T00:00:00"/>
    <x v="2"/>
    <s v="Cleaning Model 2"/>
    <s v="BrandB"/>
    <n v="209.52"/>
    <n v="12"/>
    <x v="4"/>
    <s v="Cleaning"/>
  </r>
  <r>
    <s v="Islands"/>
    <n v="406.71"/>
    <n v="416"/>
    <s v="Sales agent"/>
    <n v="6"/>
    <d v="2023-04-15T00:00:00"/>
    <x v="4"/>
    <s v="Clothing Model 2"/>
    <s v="BrandB"/>
    <n v="247.45"/>
    <n v="18"/>
    <x v="0"/>
    <s v="Clothing"/>
  </r>
  <r>
    <s v="North"/>
    <n v="304.64"/>
    <n v="417"/>
    <s v="In-store"/>
    <n v="23"/>
    <d v="2023-06-18T00:00:00"/>
    <x v="2"/>
    <s v="Furniture Model 1"/>
    <s v="BrandD"/>
    <n v="7.21"/>
    <n v="9"/>
    <x v="1"/>
    <s v="Furniture"/>
  </r>
  <r>
    <s v="Islands"/>
    <n v="432.82"/>
    <n v="418"/>
    <s v="Marketplace"/>
    <n v="14"/>
    <d v="2023-03-17T00:00:00"/>
    <x v="0"/>
    <s v="Printers Model 1"/>
    <s v="BrandA"/>
    <n v="36.47"/>
    <n v="23"/>
    <x v="2"/>
    <s v="Printers"/>
  </r>
  <r>
    <s v="North"/>
    <n v="490.08"/>
    <n v="419"/>
    <s v="Online"/>
    <n v="41"/>
    <d v="2023-04-16T00:00:00"/>
    <x v="3"/>
    <s v=" "/>
    <s v=" "/>
    <s v=" "/>
    <n v="26"/>
    <x v="1"/>
    <s v=" "/>
  </r>
  <r>
    <s v="North"/>
    <n v="447.99"/>
    <n v="420"/>
    <s v="Online"/>
    <n v="47"/>
    <d v="2023-12-05T00:00:00"/>
    <x v="0"/>
    <s v="Stationery Model 1"/>
    <s v="BrandB"/>
    <n v="73"/>
    <n v="19"/>
    <x v="1"/>
    <s v="Statione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EEC7A-34CF-0944-A3D8-286886E1BF0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3">
    <pivotField dataField="1" showAll="0"/>
    <pivotField showAll="0"/>
    <pivotField showAll="0"/>
    <pivotField showAll="0"/>
    <pivotField showAll="0"/>
    <pivotField numFmtId="14"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gion" fld="0" subtotal="count" baseField="0" baseItem="0"/>
    <dataField name="Sum of cost unit" fld="9" baseField="0" baseItem="0" numFmtId="165"/>
  </dataFields>
  <formats count="2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E4B5F-8D18-FB45-BFFE-839F8EE5C5B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7">
        <item x="5"/>
        <item x="3"/>
        <item x="0"/>
        <item x="2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7">
    <i>
      <x v="1"/>
    </i>
    <i>
      <x v="2"/>
    </i>
    <i>
      <x/>
    </i>
    <i>
      <x v="4"/>
    </i>
    <i>
      <x v="5"/>
    </i>
    <i>
      <x v="3"/>
    </i>
    <i t="grand">
      <x/>
    </i>
  </rowItems>
  <colItems count="1">
    <i/>
  </colItems>
  <dataFields count="1">
    <dataField name="Sum of Quantity" fld="4" baseField="0" baseItem="0" numFmtId="2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8"/>
  <sheetViews>
    <sheetView showGridLines="0" zoomScale="99" workbookViewId="0">
      <selection activeCell="A7" sqref="A7"/>
    </sheetView>
  </sheetViews>
  <sheetFormatPr baseColWidth="10" defaultColWidth="8.83203125" defaultRowHeight="15" x14ac:dyDescent="0.2"/>
  <cols>
    <col min="1" max="1" width="122" bestFit="1" customWidth="1"/>
  </cols>
  <sheetData>
    <row r="1" spans="1:1" ht="59" customHeight="1" x14ac:dyDescent="0.2">
      <c r="A1" s="1" t="s">
        <v>0</v>
      </c>
    </row>
    <row r="2" spans="1:1" ht="48" customHeight="1" x14ac:dyDescent="0.2">
      <c r="A2" s="2" t="s">
        <v>1</v>
      </c>
    </row>
    <row r="3" spans="1:1" ht="48" customHeight="1" x14ac:dyDescent="0.2">
      <c r="A3" s="1" t="s">
        <v>2</v>
      </c>
    </row>
    <row r="4" spans="1:1" ht="48" customHeight="1" x14ac:dyDescent="0.2">
      <c r="A4" s="2" t="s">
        <v>3</v>
      </c>
    </row>
    <row r="5" spans="1:1" ht="48" customHeight="1" x14ac:dyDescent="0.2">
      <c r="A5" s="1" t="s">
        <v>4</v>
      </c>
    </row>
    <row r="6" spans="1:1" ht="48" customHeight="1" x14ac:dyDescent="0.2">
      <c r="A6" s="2" t="s">
        <v>5</v>
      </c>
    </row>
    <row r="7" spans="1:1" ht="48" customHeight="1" x14ac:dyDescent="0.2">
      <c r="A7" s="1" t="s">
        <v>6</v>
      </c>
    </row>
    <row r="8" spans="1:1" ht="48" customHeight="1" x14ac:dyDescent="0.2">
      <c r="A8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96D3-E42E-4144-9BE8-D22DF3C71766}">
  <dimension ref="A3:C9"/>
  <sheetViews>
    <sheetView workbookViewId="0">
      <selection activeCell="A5" sqref="A4:A8"/>
      <pivotSelection pane="bottomRight" showHeader="1" axis="axisRow" activeRow="4" previousRow="4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baseColWidth="10" defaultRowHeight="15" x14ac:dyDescent="0.2"/>
  <cols>
    <col min="1" max="1" width="12.1640625" bestFit="1" customWidth="1"/>
    <col min="2" max="2" width="13.33203125" bestFit="1" customWidth="1"/>
    <col min="3" max="3" width="13.33203125" style="8" bestFit="1" customWidth="1"/>
  </cols>
  <sheetData>
    <row r="3" spans="1:3" x14ac:dyDescent="0.2">
      <c r="A3" s="10" t="s">
        <v>84</v>
      </c>
      <c r="B3" t="s">
        <v>87</v>
      </c>
      <c r="C3" s="8" t="s">
        <v>88</v>
      </c>
    </row>
    <row r="4" spans="1:3" x14ac:dyDescent="0.2">
      <c r="A4" s="11" t="s">
        <v>85</v>
      </c>
      <c r="B4" s="12">
        <v>76</v>
      </c>
      <c r="C4" s="8">
        <v>0</v>
      </c>
    </row>
    <row r="5" spans="1:3" x14ac:dyDescent="0.2">
      <c r="A5" s="11" t="s">
        <v>37</v>
      </c>
      <c r="B5" s="12">
        <v>91</v>
      </c>
      <c r="C5" s="8">
        <v>12561.990000000003</v>
      </c>
    </row>
    <row r="6" spans="1:3" x14ac:dyDescent="0.2">
      <c r="A6" s="11" t="s">
        <v>49</v>
      </c>
      <c r="B6" s="12">
        <v>84</v>
      </c>
      <c r="C6" s="8">
        <v>8790.0600000000068</v>
      </c>
    </row>
    <row r="7" spans="1:3" x14ac:dyDescent="0.2">
      <c r="A7" s="11" t="s">
        <v>70</v>
      </c>
      <c r="B7" s="12">
        <v>89</v>
      </c>
      <c r="C7" s="8">
        <v>9328.9199999999964</v>
      </c>
    </row>
    <row r="8" spans="1:3" x14ac:dyDescent="0.2">
      <c r="A8" s="11" t="s">
        <v>59</v>
      </c>
      <c r="B8" s="12">
        <v>80</v>
      </c>
      <c r="C8" s="8">
        <v>11176.900000000003</v>
      </c>
    </row>
    <row r="9" spans="1:3" x14ac:dyDescent="0.2">
      <c r="A9" s="11" t="s">
        <v>86</v>
      </c>
      <c r="B9" s="12">
        <v>420</v>
      </c>
      <c r="C9" s="8">
        <v>41857.869999999944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D9A2-A1FC-8943-89CB-0A5BB15A0AB6}">
  <dimension ref="A3:B10"/>
  <sheetViews>
    <sheetView tabSelected="1" workbookViewId="0">
      <selection activeCell="B4" sqref="B4"/>
    </sheetView>
  </sheetViews>
  <sheetFormatPr baseColWidth="10" defaultRowHeight="15" x14ac:dyDescent="0.2"/>
  <cols>
    <col min="1" max="1" width="12.1640625" bestFit="1" customWidth="1"/>
    <col min="2" max="2" width="13.5" style="13" bestFit="1" customWidth="1"/>
  </cols>
  <sheetData>
    <row r="3" spans="1:2" x14ac:dyDescent="0.2">
      <c r="A3" s="10" t="s">
        <v>84</v>
      </c>
      <c r="B3" s="13" t="s">
        <v>89</v>
      </c>
    </row>
    <row r="4" spans="1:2" x14ac:dyDescent="0.2">
      <c r="A4" s="11" t="s">
        <v>27</v>
      </c>
      <c r="B4" s="13">
        <v>1998</v>
      </c>
    </row>
    <row r="5" spans="1:2" x14ac:dyDescent="0.2">
      <c r="A5" s="11" t="s">
        <v>18</v>
      </c>
      <c r="B5" s="13">
        <v>1924</v>
      </c>
    </row>
    <row r="6" spans="1:2" x14ac:dyDescent="0.2">
      <c r="A6" s="11" t="s">
        <v>29</v>
      </c>
      <c r="B6" s="13">
        <v>1794</v>
      </c>
    </row>
    <row r="7" spans="1:2" x14ac:dyDescent="0.2">
      <c r="A7" s="11" t="s">
        <v>28</v>
      </c>
      <c r="B7" s="13">
        <v>1789</v>
      </c>
    </row>
    <row r="8" spans="1:2" x14ac:dyDescent="0.2">
      <c r="A8" s="11" t="s">
        <v>23</v>
      </c>
      <c r="B8" s="13">
        <v>1749</v>
      </c>
    </row>
    <row r="9" spans="1:2" x14ac:dyDescent="0.2">
      <c r="A9" s="11" t="s">
        <v>26</v>
      </c>
      <c r="B9" s="13">
        <v>1416</v>
      </c>
    </row>
    <row r="10" spans="1:2" x14ac:dyDescent="0.2">
      <c r="A10" s="11" t="s">
        <v>86</v>
      </c>
      <c r="B10" s="13">
        <v>10670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21"/>
  <sheetViews>
    <sheetView workbookViewId="0">
      <pane ySplit="1" topLeftCell="A382" activePane="bottomLeft" state="frozen"/>
      <selection pane="bottomLeft" activeCell="D389" sqref="D389"/>
    </sheetView>
  </sheetViews>
  <sheetFormatPr baseColWidth="10" defaultColWidth="8.83203125" defaultRowHeight="15" x14ac:dyDescent="0.2"/>
  <cols>
    <col min="1" max="3" width="14" customWidth="1"/>
    <col min="4" max="4" width="16" customWidth="1"/>
    <col min="5" max="5" width="14" customWidth="1"/>
    <col min="6" max="7" width="15" style="6" customWidth="1"/>
    <col min="8" max="8" width="19.6640625" style="6" bestFit="1" customWidth="1"/>
    <col min="9" max="9" width="19.6640625" style="6" customWidth="1"/>
    <col min="10" max="10" width="15" style="8" customWidth="1"/>
    <col min="11" max="11" width="14" customWidth="1"/>
    <col min="12" max="12" width="21.1640625" customWidth="1"/>
    <col min="13" max="13" width="13" bestFit="1" customWidth="1"/>
  </cols>
  <sheetData>
    <row r="1" spans="1:13" s="4" customFormat="1" ht="28" customHeight="1" x14ac:dyDescent="0.2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5" t="s">
        <v>13</v>
      </c>
      <c r="G1" s="5" t="s">
        <v>80</v>
      </c>
      <c r="H1" s="5" t="s">
        <v>79</v>
      </c>
      <c r="I1" s="5" t="s">
        <v>82</v>
      </c>
      <c r="J1" s="7" t="s">
        <v>81</v>
      </c>
      <c r="K1" s="3" t="s">
        <v>14</v>
      </c>
      <c r="L1" s="3" t="s">
        <v>15</v>
      </c>
      <c r="M1" s="9" t="s">
        <v>83</v>
      </c>
    </row>
    <row r="2" spans="1:13" x14ac:dyDescent="0.2">
      <c r="A2" t="s">
        <v>16</v>
      </c>
      <c r="B2">
        <v>211.68</v>
      </c>
      <c r="C2">
        <v>1</v>
      </c>
      <c r="D2" t="s">
        <v>17</v>
      </c>
      <c r="E2">
        <v>8</v>
      </c>
      <c r="F2" s="6">
        <v>45111</v>
      </c>
      <c r="G2" s="6" t="str">
        <f>_xlfn.XLOOKUP(K:K,Products!B:B,Products!E:E," ")</f>
        <v>Office</v>
      </c>
      <c r="H2" s="6" t="str">
        <f>_xlfn.XLOOKUP(Orders!K:K,Products!B:B,Products!F:F," ")</f>
        <v>Printers Model 2</v>
      </c>
      <c r="I2" s="6" t="str">
        <f>_xlfn.XLOOKUP(K:K,Products!B:B,Products!C:C," ")</f>
        <v>BrandA</v>
      </c>
      <c r="J2" s="8">
        <f>_xlfn.XLOOKUP(K:K,Products!B:B,Products!D:D," ")</f>
        <v>272.52</v>
      </c>
      <c r="K2">
        <v>24</v>
      </c>
      <c r="L2" t="s">
        <v>18</v>
      </c>
      <c r="M2" t="str">
        <f>_xlfn.XLOOKUP(K:K,Products!B:B,Products!A:A," ")</f>
        <v>Printers</v>
      </c>
    </row>
    <row r="3" spans="1:13" x14ac:dyDescent="0.2">
      <c r="A3" t="s">
        <v>16</v>
      </c>
      <c r="B3">
        <v>265.16000000000003</v>
      </c>
      <c r="C3">
        <v>2</v>
      </c>
      <c r="D3" t="s">
        <v>17</v>
      </c>
      <c r="E3">
        <v>27</v>
      </c>
      <c r="F3" s="6">
        <v>45234</v>
      </c>
      <c r="G3" s="6" t="str">
        <f>_xlfn.XLOOKUP(K:K,Products!B:B,Products!E:E," ")</f>
        <v>Electronics</v>
      </c>
      <c r="H3" s="6" t="str">
        <f>_xlfn.XLOOKUP(Orders!K:K,Products!B:B,Products!F:F," ")</f>
        <v>Laptop Model 1</v>
      </c>
      <c r="I3" s="6" t="str">
        <f>_xlfn.XLOOKUP(K:K,Products!B:B,Products!C:C," ")</f>
        <v>BrandB</v>
      </c>
      <c r="J3" s="8">
        <f>_xlfn.XLOOKUP(K:K,Products!B:B,Products!D:D," ")</f>
        <v>251.46</v>
      </c>
      <c r="K3">
        <v>3</v>
      </c>
      <c r="L3" t="s">
        <v>18</v>
      </c>
      <c r="M3" t="str">
        <f>_xlfn.XLOOKUP(K:K,Products!B:B,Products!A:A," ")</f>
        <v>Laptop</v>
      </c>
    </row>
    <row r="4" spans="1:13" x14ac:dyDescent="0.2">
      <c r="A4" t="s">
        <v>19</v>
      </c>
      <c r="B4">
        <v>279.89</v>
      </c>
      <c r="C4">
        <v>3</v>
      </c>
      <c r="D4" t="s">
        <v>17</v>
      </c>
      <c r="E4">
        <v>26</v>
      </c>
      <c r="F4" s="6">
        <v>45180</v>
      </c>
      <c r="G4" s="6" t="str">
        <f>_xlfn.XLOOKUP(K:K,Products!B:B,Products!E:E," ")</f>
        <v>Office</v>
      </c>
      <c r="H4" s="6" t="str">
        <f>_xlfn.XLOOKUP(Orders!K:K,Products!B:B,Products!F:F," ")</f>
        <v>Stationery Model 2</v>
      </c>
      <c r="I4" s="6" t="str">
        <f>_xlfn.XLOOKUP(K:K,Products!B:B,Products!C:C," ")</f>
        <v>BrandC</v>
      </c>
      <c r="J4" s="8">
        <f>_xlfn.XLOOKUP(K:K,Products!B:B,Products!D:D," ")</f>
        <v>170.2</v>
      </c>
      <c r="K4">
        <v>20</v>
      </c>
      <c r="L4" t="s">
        <v>18</v>
      </c>
      <c r="M4" t="str">
        <f>_xlfn.XLOOKUP(K:K,Products!B:B,Products!A:A," ")</f>
        <v>Stationery</v>
      </c>
    </row>
    <row r="5" spans="1:13" x14ac:dyDescent="0.2">
      <c r="A5" t="s">
        <v>16</v>
      </c>
      <c r="B5">
        <v>60.62</v>
      </c>
      <c r="C5">
        <v>4</v>
      </c>
      <c r="D5" t="s">
        <v>20</v>
      </c>
      <c r="E5">
        <v>17</v>
      </c>
      <c r="F5" s="6">
        <v>45280</v>
      </c>
      <c r="G5" s="6" t="str">
        <f>_xlfn.XLOOKUP(K:K,Products!B:B,Products!E:E," ")</f>
        <v>Electronics</v>
      </c>
      <c r="H5" s="6" t="str">
        <f>_xlfn.XLOOKUP(Orders!K:K,Products!B:B,Products!F:F," ")</f>
        <v>Smartphone Model 2</v>
      </c>
      <c r="I5" s="6" t="str">
        <f>_xlfn.XLOOKUP(K:K,Products!B:B,Products!C:C," ")</f>
        <v>BrandB</v>
      </c>
      <c r="J5" s="8">
        <f>_xlfn.XLOOKUP(K:K,Products!B:B,Products!D:D," ")</f>
        <v>43.27</v>
      </c>
      <c r="K5">
        <v>2</v>
      </c>
      <c r="L5" t="s">
        <v>18</v>
      </c>
      <c r="M5" t="str">
        <f>_xlfn.XLOOKUP(K:K,Products!B:B,Products!A:A," ")</f>
        <v>Smartphone</v>
      </c>
    </row>
    <row r="6" spans="1:13" x14ac:dyDescent="0.2">
      <c r="A6" t="s">
        <v>21</v>
      </c>
      <c r="B6">
        <v>449.41</v>
      </c>
      <c r="C6">
        <v>5</v>
      </c>
      <c r="D6" t="s">
        <v>22</v>
      </c>
      <c r="E6">
        <v>15</v>
      </c>
      <c r="F6" s="6">
        <v>45266</v>
      </c>
      <c r="G6" s="6" t="str">
        <f>_xlfn.XLOOKUP(K:K,Products!B:B,Products!E:E," ")</f>
        <v>Office</v>
      </c>
      <c r="H6" s="6" t="str">
        <f>_xlfn.XLOOKUP(Orders!K:K,Products!B:B,Products!F:F," ")</f>
        <v>Stationery Model 2</v>
      </c>
      <c r="I6" s="6" t="str">
        <f>_xlfn.XLOOKUP(K:K,Products!B:B,Products!C:C," ")</f>
        <v>BrandC</v>
      </c>
      <c r="J6" s="8">
        <f>_xlfn.XLOOKUP(K:K,Products!B:B,Products!D:D," ")</f>
        <v>170.2</v>
      </c>
      <c r="K6">
        <v>20</v>
      </c>
      <c r="L6" t="s">
        <v>23</v>
      </c>
      <c r="M6" t="str">
        <f>_xlfn.XLOOKUP(K:K,Products!B:B,Products!A:A," ")</f>
        <v>Stationery</v>
      </c>
    </row>
    <row r="7" spans="1:13" x14ac:dyDescent="0.2">
      <c r="A7" t="s">
        <v>19</v>
      </c>
      <c r="B7">
        <v>423.26</v>
      </c>
      <c r="C7">
        <v>6</v>
      </c>
      <c r="D7" t="s">
        <v>24</v>
      </c>
      <c r="E7">
        <v>44</v>
      </c>
      <c r="F7" s="6">
        <v>44989</v>
      </c>
      <c r="G7" s="6" t="str">
        <f>_xlfn.XLOOKUP(K:K,Products!B:B,Products!E:E," ")</f>
        <v>Office</v>
      </c>
      <c r="H7" s="6" t="str">
        <f>_xlfn.XLOOKUP(Orders!K:K,Products!B:B,Products!F:F," ")</f>
        <v>Stationery Model 1</v>
      </c>
      <c r="I7" s="6" t="str">
        <f>_xlfn.XLOOKUP(K:K,Products!B:B,Products!C:C," ")</f>
        <v>BrandB</v>
      </c>
      <c r="J7" s="8">
        <f>_xlfn.XLOOKUP(K:K,Products!B:B,Products!D:D," ")</f>
        <v>73</v>
      </c>
      <c r="K7">
        <v>19</v>
      </c>
      <c r="L7" t="s">
        <v>23</v>
      </c>
      <c r="M7" t="str">
        <f>_xlfn.XLOOKUP(K:K,Products!B:B,Products!A:A," ")</f>
        <v>Stationery</v>
      </c>
    </row>
    <row r="8" spans="1:13" x14ac:dyDescent="0.2">
      <c r="A8" t="s">
        <v>25</v>
      </c>
      <c r="B8">
        <v>307.33</v>
      </c>
      <c r="C8">
        <v>7</v>
      </c>
      <c r="D8" t="s">
        <v>22</v>
      </c>
      <c r="E8">
        <v>29</v>
      </c>
      <c r="F8" s="6">
        <v>45000</v>
      </c>
      <c r="G8" s="6" t="str">
        <f>_xlfn.XLOOKUP(K:K,Products!B:B,Products!E:E," ")</f>
        <v>Electronics</v>
      </c>
      <c r="H8" s="6" t="str">
        <f>_xlfn.XLOOKUP(Orders!K:K,Products!B:B,Products!F:F," ")</f>
        <v>Smartphone Model 1</v>
      </c>
      <c r="I8" s="6" t="str">
        <f>_xlfn.XLOOKUP(K:K,Products!B:B,Products!C:C," ")</f>
        <v>BrandC</v>
      </c>
      <c r="J8" s="8">
        <f>_xlfn.XLOOKUP(K:K,Products!B:B,Products!D:D," ")</f>
        <v>285.64999999999998</v>
      </c>
      <c r="K8">
        <v>1</v>
      </c>
      <c r="L8" t="s">
        <v>26</v>
      </c>
      <c r="M8" t="str">
        <f>_xlfn.XLOOKUP(K:K,Products!B:B,Products!A:A," ")</f>
        <v>Smartphone</v>
      </c>
    </row>
    <row r="9" spans="1:13" x14ac:dyDescent="0.2">
      <c r="A9" t="s">
        <v>25</v>
      </c>
      <c r="B9">
        <v>365.24</v>
      </c>
      <c r="C9">
        <v>8</v>
      </c>
      <c r="D9" t="s">
        <v>20</v>
      </c>
      <c r="E9">
        <v>23</v>
      </c>
      <c r="F9" s="6">
        <v>45007</v>
      </c>
      <c r="G9" s="6" t="str">
        <f>_xlfn.XLOOKUP(K:K,Products!B:B,Products!E:E," ")</f>
        <v>Office</v>
      </c>
      <c r="H9" s="6" t="str">
        <f>_xlfn.XLOOKUP(Orders!K:K,Products!B:B,Products!F:F," ")</f>
        <v>Office Furniture Model 1</v>
      </c>
      <c r="I9" s="6" t="str">
        <f>_xlfn.XLOOKUP(K:K,Products!B:B,Products!C:C," ")</f>
        <v>BrandC</v>
      </c>
      <c r="J9" s="8">
        <f>_xlfn.XLOOKUP(K:K,Products!B:B,Products!D:D," ")</f>
        <v>67.66</v>
      </c>
      <c r="K9">
        <v>21</v>
      </c>
      <c r="L9" t="s">
        <v>23</v>
      </c>
      <c r="M9" t="str">
        <f>_xlfn.XLOOKUP(K:K,Products!B:B,Products!A:A," ")</f>
        <v>Office Furniture</v>
      </c>
    </row>
    <row r="10" spans="1:13" x14ac:dyDescent="0.2">
      <c r="A10" t="s">
        <v>25</v>
      </c>
      <c r="B10">
        <v>467.1</v>
      </c>
      <c r="C10">
        <v>9</v>
      </c>
      <c r="D10" t="s">
        <v>20</v>
      </c>
      <c r="E10">
        <v>48</v>
      </c>
      <c r="F10" s="6">
        <v>45259</v>
      </c>
      <c r="G10" s="6" t="str">
        <f>_xlfn.XLOOKUP(K:K,Products!B:B,Products!E:E," ")</f>
        <v>Electronics</v>
      </c>
      <c r="H10" s="6" t="str">
        <f>_xlfn.XLOOKUP(Orders!K:K,Products!B:B,Products!F:F," ")</f>
        <v>Laptop Model 2</v>
      </c>
      <c r="I10" s="6" t="str">
        <f>_xlfn.XLOOKUP(K:K,Products!B:B,Products!C:C," ")</f>
        <v>BrandB</v>
      </c>
      <c r="J10" s="8">
        <f>_xlfn.XLOOKUP(K:K,Products!B:B,Products!D:D," ")</f>
        <v>65.05</v>
      </c>
      <c r="K10">
        <v>4</v>
      </c>
      <c r="L10" t="s">
        <v>27</v>
      </c>
      <c r="M10" t="str">
        <f>_xlfn.XLOOKUP(K:K,Products!B:B,Products!A:A," ")</f>
        <v>Laptop</v>
      </c>
    </row>
    <row r="11" spans="1:13" x14ac:dyDescent="0.2">
      <c r="A11" t="s">
        <v>19</v>
      </c>
      <c r="B11">
        <v>479.01</v>
      </c>
      <c r="C11">
        <v>10</v>
      </c>
      <c r="D11" t="s">
        <v>20</v>
      </c>
      <c r="E11">
        <v>7</v>
      </c>
      <c r="F11" s="6">
        <v>45040</v>
      </c>
      <c r="G11" s="6" t="str">
        <f>_xlfn.XLOOKUP(K:K,Products!B:B,Products!E:E," ")</f>
        <v>Office</v>
      </c>
      <c r="H11" s="6" t="str">
        <f>_xlfn.XLOOKUP(Orders!K:K,Products!B:B,Products!F:F," ")</f>
        <v>Printers Model 1</v>
      </c>
      <c r="I11" s="6" t="str">
        <f>_xlfn.XLOOKUP(K:K,Products!B:B,Products!C:C," ")</f>
        <v>BrandA</v>
      </c>
      <c r="J11" s="8">
        <f>_xlfn.XLOOKUP(K:K,Products!B:B,Products!D:D," ")</f>
        <v>36.47</v>
      </c>
      <c r="K11">
        <v>23</v>
      </c>
      <c r="L11" t="s">
        <v>18</v>
      </c>
      <c r="M11" t="str">
        <f>_xlfn.XLOOKUP(K:K,Products!B:B,Products!A:A," ")</f>
        <v>Printers</v>
      </c>
    </row>
    <row r="12" spans="1:13" x14ac:dyDescent="0.2">
      <c r="A12" t="s">
        <v>19</v>
      </c>
      <c r="B12">
        <v>154.76</v>
      </c>
      <c r="C12">
        <v>11</v>
      </c>
      <c r="D12" t="s">
        <v>24</v>
      </c>
      <c r="E12">
        <v>29</v>
      </c>
      <c r="F12" s="6">
        <v>45142</v>
      </c>
      <c r="G12" s="6" t="str">
        <f>_xlfn.XLOOKUP(K:K,Products!B:B,Products!E:E," ")</f>
        <v>Home</v>
      </c>
      <c r="H12" s="6" t="str">
        <f>_xlfn.XLOOKUP(Orders!K:K,Products!B:B,Products!F:F," ")</f>
        <v>Cleaning Model 2</v>
      </c>
      <c r="I12" s="6" t="str">
        <f>_xlfn.XLOOKUP(K:K,Products!B:B,Products!C:C," ")</f>
        <v>BrandB</v>
      </c>
      <c r="J12" s="8">
        <f>_xlfn.XLOOKUP(K:K,Products!B:B,Products!D:D," ")</f>
        <v>209.52</v>
      </c>
      <c r="K12">
        <v>12</v>
      </c>
      <c r="L12" t="s">
        <v>27</v>
      </c>
      <c r="M12" t="str">
        <f>_xlfn.XLOOKUP(K:K,Products!B:B,Products!A:A," ")</f>
        <v>Cleaning</v>
      </c>
    </row>
    <row r="13" spans="1:13" x14ac:dyDescent="0.2">
      <c r="A13" t="s">
        <v>21</v>
      </c>
      <c r="B13">
        <v>88.88</v>
      </c>
      <c r="C13">
        <v>12</v>
      </c>
      <c r="D13" t="s">
        <v>24</v>
      </c>
      <c r="E13">
        <v>41</v>
      </c>
      <c r="F13" s="6">
        <v>45087</v>
      </c>
      <c r="G13" s="6" t="str">
        <f>_xlfn.XLOOKUP(K:K,Products!B:B,Products!E:E," ")</f>
        <v>Home</v>
      </c>
      <c r="H13" s="6" t="str">
        <f>_xlfn.XLOOKUP(Orders!K:K,Products!B:B,Products!F:F," ")</f>
        <v>Furniture Model 1</v>
      </c>
      <c r="I13" s="6" t="str">
        <f>_xlfn.XLOOKUP(K:K,Products!B:B,Products!C:C," ")</f>
        <v>BrandD</v>
      </c>
      <c r="J13" s="8">
        <f>_xlfn.XLOOKUP(K:K,Products!B:B,Products!D:D," ")</f>
        <v>7.21</v>
      </c>
      <c r="K13">
        <v>9</v>
      </c>
      <c r="L13" t="s">
        <v>28</v>
      </c>
      <c r="M13" t="str">
        <f>_xlfn.XLOOKUP(K:K,Products!B:B,Products!A:A," ")</f>
        <v>Furniture</v>
      </c>
    </row>
    <row r="14" spans="1:13" x14ac:dyDescent="0.2">
      <c r="A14" t="s">
        <v>19</v>
      </c>
      <c r="B14">
        <v>42.29</v>
      </c>
      <c r="C14">
        <v>13</v>
      </c>
      <c r="D14" t="s">
        <v>24</v>
      </c>
      <c r="E14">
        <v>22</v>
      </c>
      <c r="F14" s="6">
        <v>45129</v>
      </c>
      <c r="G14" s="6" t="str">
        <f>_xlfn.XLOOKUP(K:K,Products!B:B,Products!E:E," ")</f>
        <v>Home</v>
      </c>
      <c r="H14" s="6" t="str">
        <f>_xlfn.XLOOKUP(Orders!K:K,Products!B:B,Products!F:F," ")</f>
        <v>Kitchen Model 1</v>
      </c>
      <c r="I14" s="6" t="str">
        <f>_xlfn.XLOOKUP(K:K,Products!B:B,Products!C:C," ")</f>
        <v>BrandB</v>
      </c>
      <c r="J14" s="8">
        <f>_xlfn.XLOOKUP(K:K,Products!B:B,Products!D:D," ")</f>
        <v>27.76</v>
      </c>
      <c r="K14">
        <v>7</v>
      </c>
      <c r="L14" t="s">
        <v>23</v>
      </c>
      <c r="M14" t="str">
        <f>_xlfn.XLOOKUP(K:K,Products!B:B,Products!A:A," ")</f>
        <v>Kitchen</v>
      </c>
    </row>
    <row r="15" spans="1:13" x14ac:dyDescent="0.2">
      <c r="A15" t="s">
        <v>25</v>
      </c>
      <c r="B15">
        <v>228.44</v>
      </c>
      <c r="C15">
        <v>14</v>
      </c>
      <c r="D15" t="s">
        <v>17</v>
      </c>
      <c r="E15">
        <v>20</v>
      </c>
      <c r="F15" s="6">
        <v>45284</v>
      </c>
      <c r="G15" s="6" t="str">
        <f>_xlfn.XLOOKUP(K:K,Products!B:B,Products!E:E," ")</f>
        <v xml:space="preserve"> </v>
      </c>
      <c r="H15" s="6" t="str">
        <f>_xlfn.XLOOKUP(Orders!K:K,Products!B:B,Products!F:F," ")</f>
        <v xml:space="preserve"> </v>
      </c>
      <c r="I15" s="6" t="str">
        <f>_xlfn.XLOOKUP(K:K,Products!B:B,Products!C:C," ")</f>
        <v xml:space="preserve"> </v>
      </c>
      <c r="J15" s="8" t="str">
        <f>_xlfn.XLOOKUP(K:K,Products!B:B,Products!D:D," ")</f>
        <v xml:space="preserve"> </v>
      </c>
      <c r="K15">
        <v>26</v>
      </c>
      <c r="L15" t="s">
        <v>29</v>
      </c>
      <c r="M15" t="str">
        <f>_xlfn.XLOOKUP(K:K,Products!B:B,Products!A:A," ")</f>
        <v xml:space="preserve"> </v>
      </c>
    </row>
    <row r="16" spans="1:13" x14ac:dyDescent="0.2">
      <c r="A16" t="s">
        <v>25</v>
      </c>
      <c r="B16">
        <v>49.5</v>
      </c>
      <c r="C16">
        <v>15</v>
      </c>
      <c r="D16" t="s">
        <v>20</v>
      </c>
      <c r="E16">
        <v>14</v>
      </c>
      <c r="F16" s="6">
        <v>45033</v>
      </c>
      <c r="G16" s="6" t="str">
        <f>_xlfn.XLOOKUP(K:K,Products!B:B,Products!E:E," ")</f>
        <v>Office</v>
      </c>
      <c r="H16" s="6" t="str">
        <f>_xlfn.XLOOKUP(Orders!K:K,Products!B:B,Products!F:F," ")</f>
        <v>Stationery Model 1</v>
      </c>
      <c r="I16" s="6" t="str">
        <f>_xlfn.XLOOKUP(K:K,Products!B:B,Products!C:C," ")</f>
        <v>BrandB</v>
      </c>
      <c r="J16" s="8">
        <f>_xlfn.XLOOKUP(K:K,Products!B:B,Products!D:D," ")</f>
        <v>73</v>
      </c>
      <c r="K16">
        <v>19</v>
      </c>
      <c r="L16" t="s">
        <v>18</v>
      </c>
      <c r="M16" t="str">
        <f>_xlfn.XLOOKUP(K:K,Products!B:B,Products!A:A," ")</f>
        <v>Stationery</v>
      </c>
    </row>
    <row r="17" spans="1:13" x14ac:dyDescent="0.2">
      <c r="A17" t="s">
        <v>16</v>
      </c>
      <c r="B17">
        <v>408.61</v>
      </c>
      <c r="C17">
        <v>16</v>
      </c>
      <c r="D17" t="s">
        <v>22</v>
      </c>
      <c r="E17">
        <v>3</v>
      </c>
      <c r="F17" s="6">
        <v>44994</v>
      </c>
      <c r="G17" s="6" t="str">
        <f>_xlfn.XLOOKUP(K:K,Products!B:B,Products!E:E," ")</f>
        <v>Sports</v>
      </c>
      <c r="H17" s="6" t="str">
        <f>_xlfn.XLOOKUP(Orders!K:K,Products!B:B,Products!F:F," ")</f>
        <v>Outdoor Model 1</v>
      </c>
      <c r="I17" s="6" t="str">
        <f>_xlfn.XLOOKUP(K:K,Products!B:B,Products!C:C," ")</f>
        <v>BrandD</v>
      </c>
      <c r="J17" s="8">
        <f>_xlfn.XLOOKUP(K:K,Products!B:B,Products!D:D," ")</f>
        <v>223.53</v>
      </c>
      <c r="K17">
        <v>15</v>
      </c>
      <c r="L17" t="s">
        <v>28</v>
      </c>
      <c r="M17" t="str">
        <f>_xlfn.XLOOKUP(K:K,Products!B:B,Products!A:A," ")</f>
        <v>Outdoor</v>
      </c>
    </row>
    <row r="18" spans="1:13" x14ac:dyDescent="0.2">
      <c r="A18" t="s">
        <v>21</v>
      </c>
      <c r="B18">
        <v>154.74</v>
      </c>
      <c r="C18">
        <v>17</v>
      </c>
      <c r="D18" t="s">
        <v>20</v>
      </c>
      <c r="E18">
        <v>4</v>
      </c>
      <c r="F18" s="6">
        <v>45026</v>
      </c>
      <c r="G18" s="6" t="str">
        <f>_xlfn.XLOOKUP(K:K,Products!B:B,Products!E:E," ")</f>
        <v>Office</v>
      </c>
      <c r="H18" s="6" t="str">
        <f>_xlfn.XLOOKUP(Orders!K:K,Products!B:B,Products!F:F," ")</f>
        <v>Office Furniture Model 2</v>
      </c>
      <c r="I18" s="6" t="str">
        <f>_xlfn.XLOOKUP(K:K,Products!B:B,Products!C:C," ")</f>
        <v>BrandA</v>
      </c>
      <c r="J18" s="8">
        <f>_xlfn.XLOOKUP(K:K,Products!B:B,Products!D:D," ")</f>
        <v>59.72</v>
      </c>
      <c r="K18">
        <v>22</v>
      </c>
      <c r="L18" t="s">
        <v>29</v>
      </c>
      <c r="M18" t="str">
        <f>_xlfn.XLOOKUP(K:K,Products!B:B,Products!A:A," ")</f>
        <v>Office Furniture</v>
      </c>
    </row>
    <row r="19" spans="1:13" x14ac:dyDescent="0.2">
      <c r="A19" t="s">
        <v>19</v>
      </c>
      <c r="B19">
        <v>450.39</v>
      </c>
      <c r="C19">
        <v>18</v>
      </c>
      <c r="D19" t="s">
        <v>17</v>
      </c>
      <c r="E19">
        <v>13</v>
      </c>
      <c r="F19" s="6">
        <v>45215</v>
      </c>
      <c r="G19" s="6" t="str">
        <f>_xlfn.XLOOKUP(K:K,Products!B:B,Products!E:E," ")</f>
        <v>Home</v>
      </c>
      <c r="H19" s="6" t="str">
        <f>_xlfn.XLOOKUP(Orders!K:K,Products!B:B,Products!F:F," ")</f>
        <v>Furniture Model 1</v>
      </c>
      <c r="I19" s="6" t="str">
        <f>_xlfn.XLOOKUP(K:K,Products!B:B,Products!C:C," ")</f>
        <v>BrandD</v>
      </c>
      <c r="J19" s="8">
        <f>_xlfn.XLOOKUP(K:K,Products!B:B,Products!D:D," ")</f>
        <v>7.21</v>
      </c>
      <c r="K19">
        <v>9</v>
      </c>
      <c r="L19" t="s">
        <v>18</v>
      </c>
      <c r="M19" t="str">
        <f>_xlfn.XLOOKUP(K:K,Products!B:B,Products!A:A," ")</f>
        <v>Furniture</v>
      </c>
    </row>
    <row r="20" spans="1:13" x14ac:dyDescent="0.2">
      <c r="A20" t="s">
        <v>19</v>
      </c>
      <c r="B20">
        <v>230.08</v>
      </c>
      <c r="C20">
        <v>19</v>
      </c>
      <c r="D20" t="s">
        <v>20</v>
      </c>
      <c r="E20">
        <v>7</v>
      </c>
      <c r="F20" s="6">
        <v>45197</v>
      </c>
      <c r="G20" s="6" t="str">
        <f>_xlfn.XLOOKUP(K:K,Products!B:B,Products!E:E," ")</f>
        <v>Office</v>
      </c>
      <c r="H20" s="6" t="str">
        <f>_xlfn.XLOOKUP(Orders!K:K,Products!B:B,Products!F:F," ")</f>
        <v>Office Furniture Model 2</v>
      </c>
      <c r="I20" s="6" t="str">
        <f>_xlfn.XLOOKUP(K:K,Products!B:B,Products!C:C," ")</f>
        <v>BrandA</v>
      </c>
      <c r="J20" s="8">
        <f>_xlfn.XLOOKUP(K:K,Products!B:B,Products!D:D," ")</f>
        <v>59.72</v>
      </c>
      <c r="K20">
        <v>22</v>
      </c>
      <c r="L20" t="s">
        <v>23</v>
      </c>
      <c r="M20" t="str">
        <f>_xlfn.XLOOKUP(K:K,Products!B:B,Products!A:A," ")</f>
        <v>Office Furniture</v>
      </c>
    </row>
    <row r="21" spans="1:13" x14ac:dyDescent="0.2">
      <c r="A21" t="s">
        <v>21</v>
      </c>
      <c r="B21">
        <v>277.20999999999998</v>
      </c>
      <c r="C21">
        <v>20</v>
      </c>
      <c r="D21" t="s">
        <v>17</v>
      </c>
      <c r="E21">
        <v>27</v>
      </c>
      <c r="F21" s="6">
        <v>45124</v>
      </c>
      <c r="G21" s="6" t="str">
        <f>_xlfn.XLOOKUP(K:K,Products!B:B,Products!E:E," ")</f>
        <v>Sports</v>
      </c>
      <c r="H21" s="6" t="str">
        <f>_xlfn.XLOOKUP(Orders!K:K,Products!B:B,Products!F:F," ")</f>
        <v>Outdoor Model 1</v>
      </c>
      <c r="I21" s="6" t="str">
        <f>_xlfn.XLOOKUP(K:K,Products!B:B,Products!C:C," ")</f>
        <v>BrandD</v>
      </c>
      <c r="J21" s="8">
        <f>_xlfn.XLOOKUP(K:K,Products!B:B,Products!D:D," ")</f>
        <v>223.53</v>
      </c>
      <c r="K21">
        <v>15</v>
      </c>
      <c r="L21" t="s">
        <v>26</v>
      </c>
      <c r="M21" t="str">
        <f>_xlfn.XLOOKUP(K:K,Products!B:B,Products!A:A," ")</f>
        <v>Outdoor</v>
      </c>
    </row>
    <row r="22" spans="1:13" x14ac:dyDescent="0.2">
      <c r="A22" t="s">
        <v>19</v>
      </c>
      <c r="B22">
        <v>206.27</v>
      </c>
      <c r="C22">
        <v>21</v>
      </c>
      <c r="D22" t="s">
        <v>20</v>
      </c>
      <c r="E22">
        <v>5</v>
      </c>
      <c r="F22" s="6">
        <v>45113</v>
      </c>
      <c r="G22" s="6" t="str">
        <f>_xlfn.XLOOKUP(K:K,Products!B:B,Products!E:E," ")</f>
        <v>Electronics</v>
      </c>
      <c r="H22" s="6" t="str">
        <f>_xlfn.XLOOKUP(Orders!K:K,Products!B:B,Products!F:F," ")</f>
        <v>Laptop Model 2</v>
      </c>
      <c r="I22" s="6" t="str">
        <f>_xlfn.XLOOKUP(K:K,Products!B:B,Products!C:C," ")</f>
        <v>BrandB</v>
      </c>
      <c r="J22" s="8">
        <f>_xlfn.XLOOKUP(K:K,Products!B:B,Products!D:D," ")</f>
        <v>65.05</v>
      </c>
      <c r="K22">
        <v>4</v>
      </c>
      <c r="L22" t="s">
        <v>29</v>
      </c>
      <c r="M22" t="str">
        <f>_xlfn.XLOOKUP(K:K,Products!B:B,Products!A:A," ")</f>
        <v>Laptop</v>
      </c>
    </row>
    <row r="23" spans="1:13" x14ac:dyDescent="0.2">
      <c r="A23" t="s">
        <v>16</v>
      </c>
      <c r="B23">
        <v>180.61</v>
      </c>
      <c r="C23">
        <v>22</v>
      </c>
      <c r="D23" t="s">
        <v>17</v>
      </c>
      <c r="E23">
        <v>33</v>
      </c>
      <c r="F23" s="6">
        <v>45038</v>
      </c>
      <c r="G23" s="6" t="str">
        <f>_xlfn.XLOOKUP(K:K,Products!B:B,Products!E:E," ")</f>
        <v>Office</v>
      </c>
      <c r="H23" s="6" t="str">
        <f>_xlfn.XLOOKUP(Orders!K:K,Products!B:B,Products!F:F," ")</f>
        <v>Stationery Model 1</v>
      </c>
      <c r="I23" s="6" t="str">
        <f>_xlfn.XLOOKUP(K:K,Products!B:B,Products!C:C," ")</f>
        <v>BrandB</v>
      </c>
      <c r="J23" s="8">
        <f>_xlfn.XLOOKUP(K:K,Products!B:B,Products!D:D," ")</f>
        <v>73</v>
      </c>
      <c r="K23">
        <v>19</v>
      </c>
      <c r="L23" t="s">
        <v>26</v>
      </c>
      <c r="M23" t="str">
        <f>_xlfn.XLOOKUP(K:K,Products!B:B,Products!A:A," ")</f>
        <v>Stationery</v>
      </c>
    </row>
    <row r="24" spans="1:13" x14ac:dyDescent="0.2">
      <c r="A24" t="s">
        <v>21</v>
      </c>
      <c r="B24">
        <v>460.26</v>
      </c>
      <c r="C24">
        <v>23</v>
      </c>
      <c r="D24" t="s">
        <v>22</v>
      </c>
      <c r="E24">
        <v>48</v>
      </c>
      <c r="F24" s="6">
        <v>45155</v>
      </c>
      <c r="G24" s="6" t="str">
        <f>_xlfn.XLOOKUP(K:K,Products!B:B,Products!E:E," ")</f>
        <v>Home</v>
      </c>
      <c r="H24" s="6" t="str">
        <f>_xlfn.XLOOKUP(Orders!K:K,Products!B:B,Products!F:F," ")</f>
        <v>Kitchen Model 1</v>
      </c>
      <c r="I24" s="6" t="str">
        <f>_xlfn.XLOOKUP(K:K,Products!B:B,Products!C:C," ")</f>
        <v>BrandB</v>
      </c>
      <c r="J24" s="8">
        <f>_xlfn.XLOOKUP(K:K,Products!B:B,Products!D:D," ")</f>
        <v>27.76</v>
      </c>
      <c r="K24">
        <v>7</v>
      </c>
      <c r="L24" t="s">
        <v>23</v>
      </c>
      <c r="M24" t="str">
        <f>_xlfn.XLOOKUP(K:K,Products!B:B,Products!A:A," ")</f>
        <v>Kitchen</v>
      </c>
    </row>
    <row r="25" spans="1:13" x14ac:dyDescent="0.2">
      <c r="A25" t="s">
        <v>16</v>
      </c>
      <c r="B25">
        <v>497.07</v>
      </c>
      <c r="C25">
        <v>24</v>
      </c>
      <c r="D25" t="s">
        <v>22</v>
      </c>
      <c r="E25">
        <v>5</v>
      </c>
      <c r="F25" s="6">
        <v>45208</v>
      </c>
      <c r="G25" s="6" t="str">
        <f>_xlfn.XLOOKUP(K:K,Products!B:B,Products!E:E," ")</f>
        <v>Sports</v>
      </c>
      <c r="H25" s="6" t="str">
        <f>_xlfn.XLOOKUP(Orders!K:K,Products!B:B,Products!F:F," ")</f>
        <v>Clothing Model 1</v>
      </c>
      <c r="I25" s="6" t="str">
        <f>_xlfn.XLOOKUP(K:K,Products!B:B,Products!C:C," ")</f>
        <v>BrandD</v>
      </c>
      <c r="J25" s="8">
        <f>_xlfn.XLOOKUP(K:K,Products!B:B,Products!D:D," ")</f>
        <v>111.57</v>
      </c>
      <c r="K25">
        <v>17</v>
      </c>
      <c r="L25" t="s">
        <v>18</v>
      </c>
      <c r="M25" t="str">
        <f>_xlfn.XLOOKUP(K:K,Products!B:B,Products!A:A," ")</f>
        <v>Clothing</v>
      </c>
    </row>
    <row r="26" spans="1:13" x14ac:dyDescent="0.2">
      <c r="A26" t="s">
        <v>21</v>
      </c>
      <c r="B26">
        <v>280.02999999999997</v>
      </c>
      <c r="C26">
        <v>25</v>
      </c>
      <c r="D26" t="s">
        <v>24</v>
      </c>
      <c r="E26">
        <v>22</v>
      </c>
      <c r="F26" s="6">
        <v>45052</v>
      </c>
      <c r="G26" s="6" t="str">
        <f>_xlfn.XLOOKUP(K:K,Products!B:B,Products!E:E," ")</f>
        <v>Electronics</v>
      </c>
      <c r="H26" s="6" t="str">
        <f>_xlfn.XLOOKUP(Orders!K:K,Products!B:B,Products!F:F," ")</f>
        <v>Smartphone Model 2</v>
      </c>
      <c r="I26" s="6" t="str">
        <f>_xlfn.XLOOKUP(K:K,Products!B:B,Products!C:C," ")</f>
        <v>BrandB</v>
      </c>
      <c r="J26" s="8">
        <f>_xlfn.XLOOKUP(K:K,Products!B:B,Products!D:D," ")</f>
        <v>43.27</v>
      </c>
      <c r="K26">
        <v>2</v>
      </c>
      <c r="L26" t="s">
        <v>28</v>
      </c>
      <c r="M26" t="str">
        <f>_xlfn.XLOOKUP(K:K,Products!B:B,Products!A:A," ")</f>
        <v>Smartphone</v>
      </c>
    </row>
    <row r="27" spans="1:13" x14ac:dyDescent="0.2">
      <c r="A27" t="s">
        <v>21</v>
      </c>
      <c r="B27">
        <v>462.25</v>
      </c>
      <c r="C27">
        <v>26</v>
      </c>
      <c r="D27" t="s">
        <v>20</v>
      </c>
      <c r="E27">
        <v>36</v>
      </c>
      <c r="F27" s="6">
        <v>45213</v>
      </c>
      <c r="G27" s="6" t="str">
        <f>_xlfn.XLOOKUP(K:K,Products!B:B,Products!E:E," ")</f>
        <v>Home</v>
      </c>
      <c r="H27" s="6" t="str">
        <f>_xlfn.XLOOKUP(Orders!K:K,Products!B:B,Products!F:F," ")</f>
        <v>Cleaning Model 1</v>
      </c>
      <c r="I27" s="6" t="str">
        <f>_xlfn.XLOOKUP(K:K,Products!B:B,Products!C:C," ")</f>
        <v>BrandD</v>
      </c>
      <c r="J27" s="8">
        <f>_xlfn.XLOOKUP(K:K,Products!B:B,Products!D:D," ")</f>
        <v>191.61</v>
      </c>
      <c r="K27">
        <v>11</v>
      </c>
      <c r="L27" t="s">
        <v>29</v>
      </c>
      <c r="M27" t="str">
        <f>_xlfn.XLOOKUP(K:K,Products!B:B,Products!A:A," ")</f>
        <v>Cleaning</v>
      </c>
    </row>
    <row r="28" spans="1:13" x14ac:dyDescent="0.2">
      <c r="A28" t="s">
        <v>19</v>
      </c>
      <c r="B28">
        <v>93.98</v>
      </c>
      <c r="C28">
        <v>27</v>
      </c>
      <c r="D28" t="s">
        <v>22</v>
      </c>
      <c r="E28">
        <v>21</v>
      </c>
      <c r="F28" s="6">
        <v>45238</v>
      </c>
      <c r="G28" s="6" t="str">
        <f>_xlfn.XLOOKUP(K:K,Products!B:B,Products!E:E," ")</f>
        <v>Electronics</v>
      </c>
      <c r="H28" s="6" t="str">
        <f>_xlfn.XLOOKUP(Orders!K:K,Products!B:B,Products!F:F," ")</f>
        <v>Laptop Model 2</v>
      </c>
      <c r="I28" s="6" t="str">
        <f>_xlfn.XLOOKUP(K:K,Products!B:B,Products!C:C," ")</f>
        <v>BrandB</v>
      </c>
      <c r="J28" s="8">
        <f>_xlfn.XLOOKUP(K:K,Products!B:B,Products!D:D," ")</f>
        <v>65.05</v>
      </c>
      <c r="K28">
        <v>4</v>
      </c>
      <c r="L28" t="s">
        <v>29</v>
      </c>
      <c r="M28" t="str">
        <f>_xlfn.XLOOKUP(K:K,Products!B:B,Products!A:A," ")</f>
        <v>Laptop</v>
      </c>
    </row>
    <row r="29" spans="1:13" x14ac:dyDescent="0.2">
      <c r="A29" t="s">
        <v>25</v>
      </c>
      <c r="B29">
        <v>62.21</v>
      </c>
      <c r="C29">
        <v>28</v>
      </c>
      <c r="D29" t="s">
        <v>20</v>
      </c>
      <c r="E29">
        <v>20</v>
      </c>
      <c r="F29" s="6">
        <v>45286</v>
      </c>
      <c r="G29" s="6" t="str">
        <f>_xlfn.XLOOKUP(K:K,Products!B:B,Products!E:E," ")</f>
        <v xml:space="preserve"> </v>
      </c>
      <c r="H29" s="6" t="str">
        <f>_xlfn.XLOOKUP(Orders!K:K,Products!B:B,Products!F:F," ")</f>
        <v xml:space="preserve"> </v>
      </c>
      <c r="I29" s="6" t="str">
        <f>_xlfn.XLOOKUP(K:K,Products!B:B,Products!C:C," ")</f>
        <v xml:space="preserve"> </v>
      </c>
      <c r="J29" s="8" t="str">
        <f>_xlfn.XLOOKUP(K:K,Products!B:B,Products!D:D," ")</f>
        <v xml:space="preserve"> </v>
      </c>
      <c r="K29">
        <v>26</v>
      </c>
      <c r="L29" t="s">
        <v>26</v>
      </c>
      <c r="M29" t="str">
        <f>_xlfn.XLOOKUP(K:K,Products!B:B,Products!A:A," ")</f>
        <v xml:space="preserve"> </v>
      </c>
    </row>
    <row r="30" spans="1:13" x14ac:dyDescent="0.2">
      <c r="A30" t="s">
        <v>25</v>
      </c>
      <c r="B30">
        <v>170.65</v>
      </c>
      <c r="C30">
        <v>29</v>
      </c>
      <c r="D30" t="s">
        <v>17</v>
      </c>
      <c r="E30">
        <v>33</v>
      </c>
      <c r="F30" s="6">
        <v>45246</v>
      </c>
      <c r="G30" s="6" t="str">
        <f>_xlfn.XLOOKUP(K:K,Products!B:B,Products!E:E," ")</f>
        <v>Sports</v>
      </c>
      <c r="H30" s="6" t="str">
        <f>_xlfn.XLOOKUP(Orders!K:K,Products!B:B,Products!F:F," ")</f>
        <v>Outdoor Model 2</v>
      </c>
      <c r="I30" s="6" t="str">
        <f>_xlfn.XLOOKUP(K:K,Products!B:B,Products!C:C," ")</f>
        <v>BrandA</v>
      </c>
      <c r="J30" s="8">
        <f>_xlfn.XLOOKUP(K:K,Products!B:B,Products!D:D," ")</f>
        <v>21.27</v>
      </c>
      <c r="K30">
        <v>16</v>
      </c>
      <c r="L30" t="s">
        <v>18</v>
      </c>
      <c r="M30" t="str">
        <f>_xlfn.XLOOKUP(K:K,Products!B:B,Products!A:A," ")</f>
        <v>Outdoor</v>
      </c>
    </row>
    <row r="31" spans="1:13" x14ac:dyDescent="0.2">
      <c r="A31" t="s">
        <v>21</v>
      </c>
      <c r="B31">
        <v>51.58</v>
      </c>
      <c r="C31">
        <v>30</v>
      </c>
      <c r="D31" t="s">
        <v>17</v>
      </c>
      <c r="E31">
        <v>32</v>
      </c>
      <c r="F31" s="6">
        <v>45203</v>
      </c>
      <c r="G31" s="6" t="str">
        <f>_xlfn.XLOOKUP(K:K,Products!B:B,Products!E:E," ")</f>
        <v>Electronics</v>
      </c>
      <c r="H31" s="6" t="str">
        <f>_xlfn.XLOOKUP(Orders!K:K,Products!B:B,Products!F:F," ")</f>
        <v>Smartphone Model 2</v>
      </c>
      <c r="I31" s="6" t="str">
        <f>_xlfn.XLOOKUP(K:K,Products!B:B,Products!C:C," ")</f>
        <v>BrandB</v>
      </c>
      <c r="J31" s="8">
        <f>_xlfn.XLOOKUP(K:K,Products!B:B,Products!D:D," ")</f>
        <v>43.27</v>
      </c>
      <c r="K31">
        <v>2</v>
      </c>
      <c r="L31" t="s">
        <v>26</v>
      </c>
      <c r="M31" t="str">
        <f>_xlfn.XLOOKUP(K:K,Products!B:B,Products!A:A," ")</f>
        <v>Smartphone</v>
      </c>
    </row>
    <row r="32" spans="1:13" x14ac:dyDescent="0.2">
      <c r="A32" t="s">
        <v>19</v>
      </c>
      <c r="B32">
        <v>7.16</v>
      </c>
      <c r="C32">
        <v>31</v>
      </c>
      <c r="D32" t="s">
        <v>20</v>
      </c>
      <c r="E32">
        <v>43</v>
      </c>
      <c r="F32" s="6">
        <v>45228</v>
      </c>
      <c r="G32" s="6" t="str">
        <f>_xlfn.XLOOKUP(K:K,Products!B:B,Products!E:E," ")</f>
        <v>Office</v>
      </c>
      <c r="H32" s="6" t="str">
        <f>_xlfn.XLOOKUP(Orders!K:K,Products!B:B,Products!F:F," ")</f>
        <v>Office Furniture Model 1</v>
      </c>
      <c r="I32" s="6" t="str">
        <f>_xlfn.XLOOKUP(K:K,Products!B:B,Products!C:C," ")</f>
        <v>BrandC</v>
      </c>
      <c r="J32" s="8">
        <f>_xlfn.XLOOKUP(K:K,Products!B:B,Products!D:D," ")</f>
        <v>67.66</v>
      </c>
      <c r="K32">
        <v>21</v>
      </c>
      <c r="L32" t="s">
        <v>18</v>
      </c>
      <c r="M32" t="str">
        <f>_xlfn.XLOOKUP(K:K,Products!B:B,Products!A:A," ")</f>
        <v>Office Furniture</v>
      </c>
    </row>
    <row r="33" spans="1:13" x14ac:dyDescent="0.2">
      <c r="A33" t="s">
        <v>19</v>
      </c>
      <c r="B33">
        <v>304.64999999999998</v>
      </c>
      <c r="C33">
        <v>32</v>
      </c>
      <c r="D33" t="s">
        <v>20</v>
      </c>
      <c r="E33">
        <v>32</v>
      </c>
      <c r="F33" s="6">
        <v>45010</v>
      </c>
      <c r="G33" s="6" t="str">
        <f>_xlfn.XLOOKUP(K:K,Products!B:B,Products!E:E," ")</f>
        <v>Office</v>
      </c>
      <c r="H33" s="6" t="str">
        <f>_xlfn.XLOOKUP(Orders!K:K,Products!B:B,Products!F:F," ")</f>
        <v>Stationery Model 1</v>
      </c>
      <c r="I33" s="6" t="str">
        <f>_xlfn.XLOOKUP(K:K,Products!B:B,Products!C:C," ")</f>
        <v>BrandB</v>
      </c>
      <c r="J33" s="8">
        <f>_xlfn.XLOOKUP(K:K,Products!B:B,Products!D:D," ")</f>
        <v>73</v>
      </c>
      <c r="K33">
        <v>19</v>
      </c>
      <c r="L33" t="s">
        <v>29</v>
      </c>
      <c r="M33" t="str">
        <f>_xlfn.XLOOKUP(K:K,Products!B:B,Products!A:A," ")</f>
        <v>Stationery</v>
      </c>
    </row>
    <row r="34" spans="1:13" x14ac:dyDescent="0.2">
      <c r="A34" t="s">
        <v>25</v>
      </c>
      <c r="B34">
        <v>444.09</v>
      </c>
      <c r="C34">
        <v>33</v>
      </c>
      <c r="D34" t="s">
        <v>17</v>
      </c>
      <c r="E34">
        <v>50</v>
      </c>
      <c r="F34" s="6">
        <v>45035</v>
      </c>
      <c r="G34" s="6" t="str">
        <f>_xlfn.XLOOKUP(K:K,Products!B:B,Products!E:E," ")</f>
        <v>Home</v>
      </c>
      <c r="H34" s="6" t="str">
        <f>_xlfn.XLOOKUP(Orders!K:K,Products!B:B,Products!F:F," ")</f>
        <v>Cleaning Model 1</v>
      </c>
      <c r="I34" s="6" t="str">
        <f>_xlfn.XLOOKUP(K:K,Products!B:B,Products!C:C," ")</f>
        <v>BrandD</v>
      </c>
      <c r="J34" s="8">
        <f>_xlfn.XLOOKUP(K:K,Products!B:B,Products!D:D," ")</f>
        <v>191.61</v>
      </c>
      <c r="K34">
        <v>11</v>
      </c>
      <c r="L34" t="s">
        <v>29</v>
      </c>
      <c r="M34" t="str">
        <f>_xlfn.XLOOKUP(K:K,Products!B:B,Products!A:A," ")</f>
        <v>Cleaning</v>
      </c>
    </row>
    <row r="35" spans="1:13" x14ac:dyDescent="0.2">
      <c r="A35" t="s">
        <v>16</v>
      </c>
      <c r="B35">
        <v>308.63</v>
      </c>
      <c r="C35">
        <v>34</v>
      </c>
      <c r="D35" t="s">
        <v>17</v>
      </c>
      <c r="E35">
        <v>7</v>
      </c>
      <c r="F35" s="6">
        <v>45106</v>
      </c>
      <c r="G35" s="6" t="str">
        <f>_xlfn.XLOOKUP(K:K,Products!B:B,Products!E:E," ")</f>
        <v>Sports</v>
      </c>
      <c r="H35" s="6" t="str">
        <f>_xlfn.XLOOKUP(Orders!K:K,Products!B:B,Products!F:F," ")</f>
        <v>Fitness Model 2</v>
      </c>
      <c r="I35" s="6" t="str">
        <f>_xlfn.XLOOKUP(K:K,Products!B:B,Products!C:C," ")</f>
        <v>BrandA</v>
      </c>
      <c r="J35" s="8">
        <f>_xlfn.XLOOKUP(K:K,Products!B:B,Products!D:D," ")</f>
        <v>63.68</v>
      </c>
      <c r="K35">
        <v>14</v>
      </c>
      <c r="L35" t="s">
        <v>18</v>
      </c>
      <c r="M35" t="str">
        <f>_xlfn.XLOOKUP(K:K,Products!B:B,Products!A:A," ")</f>
        <v>Fitness</v>
      </c>
    </row>
    <row r="36" spans="1:13" x14ac:dyDescent="0.2">
      <c r="A36" t="s">
        <v>19</v>
      </c>
      <c r="B36">
        <v>181.02</v>
      </c>
      <c r="C36">
        <v>35</v>
      </c>
      <c r="D36" t="s">
        <v>24</v>
      </c>
      <c r="E36">
        <v>47</v>
      </c>
      <c r="F36" s="6">
        <v>45079</v>
      </c>
      <c r="G36" s="6" t="str">
        <f>_xlfn.XLOOKUP(K:K,Products!B:B,Products!E:E," ")</f>
        <v>Office</v>
      </c>
      <c r="H36" s="6" t="str">
        <f>_xlfn.XLOOKUP(Orders!K:K,Products!B:B,Products!F:F," ")</f>
        <v>Printers Model 1</v>
      </c>
      <c r="I36" s="6" t="str">
        <f>_xlfn.XLOOKUP(K:K,Products!B:B,Products!C:C," ")</f>
        <v>BrandA</v>
      </c>
      <c r="J36" s="8">
        <f>_xlfn.XLOOKUP(K:K,Products!B:B,Products!D:D," ")</f>
        <v>36.47</v>
      </c>
      <c r="K36">
        <v>23</v>
      </c>
      <c r="L36" t="s">
        <v>27</v>
      </c>
      <c r="M36" t="str">
        <f>_xlfn.XLOOKUP(K:K,Products!B:B,Products!A:A," ")</f>
        <v>Printers</v>
      </c>
    </row>
    <row r="37" spans="1:13" x14ac:dyDescent="0.2">
      <c r="A37" t="s">
        <v>21</v>
      </c>
      <c r="B37">
        <v>154.09</v>
      </c>
      <c r="C37">
        <v>36</v>
      </c>
      <c r="D37" t="s">
        <v>22</v>
      </c>
      <c r="E37">
        <v>42</v>
      </c>
      <c r="F37" s="6">
        <v>45173</v>
      </c>
      <c r="G37" s="6" t="str">
        <f>_xlfn.XLOOKUP(K:K,Products!B:B,Products!E:E," ")</f>
        <v>Electronics</v>
      </c>
      <c r="H37" s="6" t="str">
        <f>_xlfn.XLOOKUP(Orders!K:K,Products!B:B,Products!F:F," ")</f>
        <v>Smartphone Model 2</v>
      </c>
      <c r="I37" s="6" t="str">
        <f>_xlfn.XLOOKUP(K:K,Products!B:B,Products!C:C," ")</f>
        <v>BrandB</v>
      </c>
      <c r="J37" s="8">
        <f>_xlfn.XLOOKUP(K:K,Products!B:B,Products!D:D," ")</f>
        <v>43.27</v>
      </c>
      <c r="K37">
        <v>2</v>
      </c>
      <c r="L37" t="s">
        <v>29</v>
      </c>
      <c r="M37" t="str">
        <f>_xlfn.XLOOKUP(K:K,Products!B:B,Products!A:A," ")</f>
        <v>Smartphone</v>
      </c>
    </row>
    <row r="38" spans="1:13" x14ac:dyDescent="0.2">
      <c r="A38" t="s">
        <v>21</v>
      </c>
      <c r="B38">
        <v>384.15</v>
      </c>
      <c r="C38">
        <v>37</v>
      </c>
      <c r="D38" t="s">
        <v>17</v>
      </c>
      <c r="E38">
        <v>50</v>
      </c>
      <c r="F38" s="6">
        <v>45187</v>
      </c>
      <c r="G38" s="6" t="str">
        <f>_xlfn.XLOOKUP(K:K,Products!B:B,Products!E:E," ")</f>
        <v>Sports</v>
      </c>
      <c r="H38" s="6" t="str">
        <f>_xlfn.XLOOKUP(Orders!K:K,Products!B:B,Products!F:F," ")</f>
        <v>Clothing Model 1</v>
      </c>
      <c r="I38" s="6" t="str">
        <f>_xlfn.XLOOKUP(K:K,Products!B:B,Products!C:C," ")</f>
        <v>BrandD</v>
      </c>
      <c r="J38" s="8">
        <f>_xlfn.XLOOKUP(K:K,Products!B:B,Products!D:D," ")</f>
        <v>111.57</v>
      </c>
      <c r="K38">
        <v>17</v>
      </c>
      <c r="L38" t="s">
        <v>23</v>
      </c>
      <c r="M38" t="str">
        <f>_xlfn.XLOOKUP(K:K,Products!B:B,Products!A:A," ")</f>
        <v>Clothing</v>
      </c>
    </row>
    <row r="39" spans="1:13" x14ac:dyDescent="0.2">
      <c r="A39" t="s">
        <v>16</v>
      </c>
      <c r="B39">
        <v>311.69</v>
      </c>
      <c r="C39">
        <v>38</v>
      </c>
      <c r="D39" t="s">
        <v>22</v>
      </c>
      <c r="E39">
        <v>46</v>
      </c>
      <c r="F39" s="6">
        <v>45247</v>
      </c>
      <c r="G39" s="6" t="str">
        <f>_xlfn.XLOOKUP(K:K,Products!B:B,Products!E:E," ")</f>
        <v>Office</v>
      </c>
      <c r="H39" s="6" t="str">
        <f>_xlfn.XLOOKUP(Orders!K:K,Products!B:B,Products!F:F," ")</f>
        <v>Stationery Model 2</v>
      </c>
      <c r="I39" s="6" t="str">
        <f>_xlfn.XLOOKUP(K:K,Products!B:B,Products!C:C," ")</f>
        <v>BrandC</v>
      </c>
      <c r="J39" s="8">
        <f>_xlfn.XLOOKUP(K:K,Products!B:B,Products!D:D," ")</f>
        <v>170.2</v>
      </c>
      <c r="K39">
        <v>20</v>
      </c>
      <c r="L39" t="s">
        <v>28</v>
      </c>
      <c r="M39" t="str">
        <f>_xlfn.XLOOKUP(K:K,Products!B:B,Products!A:A," ")</f>
        <v>Stationery</v>
      </c>
    </row>
    <row r="40" spans="1:13" x14ac:dyDescent="0.2">
      <c r="A40" t="s">
        <v>21</v>
      </c>
      <c r="B40">
        <v>113.45</v>
      </c>
      <c r="C40">
        <v>39</v>
      </c>
      <c r="D40" t="s">
        <v>20</v>
      </c>
      <c r="E40">
        <v>11</v>
      </c>
      <c r="F40" s="6">
        <v>45045</v>
      </c>
      <c r="G40" s="6" t="str">
        <f>_xlfn.XLOOKUP(K:K,Products!B:B,Products!E:E," ")</f>
        <v>Home</v>
      </c>
      <c r="H40" s="6" t="str">
        <f>_xlfn.XLOOKUP(Orders!K:K,Products!B:B,Products!F:F," ")</f>
        <v>Cleaning Model 1</v>
      </c>
      <c r="I40" s="6" t="str">
        <f>_xlfn.XLOOKUP(K:K,Products!B:B,Products!C:C," ")</f>
        <v>BrandD</v>
      </c>
      <c r="J40" s="8">
        <f>_xlfn.XLOOKUP(K:K,Products!B:B,Products!D:D," ")</f>
        <v>191.61</v>
      </c>
      <c r="K40">
        <v>11</v>
      </c>
      <c r="L40" t="s">
        <v>26</v>
      </c>
      <c r="M40" t="str">
        <f>_xlfn.XLOOKUP(K:K,Products!B:B,Products!A:A," ")</f>
        <v>Cleaning</v>
      </c>
    </row>
    <row r="41" spans="1:13" x14ac:dyDescent="0.2">
      <c r="A41" t="s">
        <v>16</v>
      </c>
      <c r="B41">
        <v>247.28</v>
      </c>
      <c r="C41">
        <v>40</v>
      </c>
      <c r="D41" t="s">
        <v>24</v>
      </c>
      <c r="E41">
        <v>27</v>
      </c>
      <c r="F41" s="6">
        <v>45233</v>
      </c>
      <c r="G41" s="6" t="str">
        <f>_xlfn.XLOOKUP(K:K,Products!B:B,Products!E:E," ")</f>
        <v>Electronics</v>
      </c>
      <c r="H41" s="6" t="str">
        <f>_xlfn.XLOOKUP(Orders!K:K,Products!B:B,Products!F:F," ")</f>
        <v>Tablet Model 2</v>
      </c>
      <c r="I41" s="6" t="str">
        <f>_xlfn.XLOOKUP(K:K,Products!B:B,Products!C:C," ")</f>
        <v>BrandB</v>
      </c>
      <c r="J41" s="8">
        <f>_xlfn.XLOOKUP(K:K,Products!B:B,Products!D:D," ")</f>
        <v>184.01</v>
      </c>
      <c r="K41">
        <v>6</v>
      </c>
      <c r="L41" t="s">
        <v>18</v>
      </c>
      <c r="M41" t="str">
        <f>_xlfn.XLOOKUP(K:K,Products!B:B,Products!A:A," ")</f>
        <v>Tablet</v>
      </c>
    </row>
    <row r="42" spans="1:13" x14ac:dyDescent="0.2">
      <c r="A42" t="s">
        <v>21</v>
      </c>
      <c r="B42">
        <v>49.68</v>
      </c>
      <c r="C42">
        <v>41</v>
      </c>
      <c r="D42" t="s">
        <v>22</v>
      </c>
      <c r="E42">
        <v>38</v>
      </c>
      <c r="F42" s="6">
        <v>45122</v>
      </c>
      <c r="G42" s="6" t="str">
        <f>_xlfn.XLOOKUP(K:K,Products!B:B,Products!E:E," ")</f>
        <v xml:space="preserve"> </v>
      </c>
      <c r="H42" s="6" t="str">
        <f>_xlfn.XLOOKUP(Orders!K:K,Products!B:B,Products!F:F," ")</f>
        <v xml:space="preserve"> </v>
      </c>
      <c r="I42" s="6" t="str">
        <f>_xlfn.XLOOKUP(K:K,Products!B:B,Products!C:C," ")</f>
        <v xml:space="preserve"> </v>
      </c>
      <c r="J42" s="8" t="str">
        <f>_xlfn.XLOOKUP(K:K,Products!B:B,Products!D:D," ")</f>
        <v xml:space="preserve"> </v>
      </c>
      <c r="K42">
        <v>25</v>
      </c>
      <c r="L42" t="s">
        <v>23</v>
      </c>
      <c r="M42" t="str">
        <f>_xlfn.XLOOKUP(K:K,Products!B:B,Products!A:A," ")</f>
        <v xml:space="preserve"> </v>
      </c>
    </row>
    <row r="43" spans="1:13" x14ac:dyDescent="0.2">
      <c r="A43" t="s">
        <v>16</v>
      </c>
      <c r="B43">
        <v>11.81</v>
      </c>
      <c r="C43">
        <v>42</v>
      </c>
      <c r="D43" t="s">
        <v>20</v>
      </c>
      <c r="E43">
        <v>48</v>
      </c>
      <c r="F43" s="6">
        <v>45150</v>
      </c>
      <c r="G43" s="6" t="str">
        <f>_xlfn.XLOOKUP(K:K,Products!B:B,Products!E:E," ")</f>
        <v>Sports</v>
      </c>
      <c r="H43" s="6" t="str">
        <f>_xlfn.XLOOKUP(Orders!K:K,Products!B:B,Products!F:F," ")</f>
        <v>Outdoor Model 2</v>
      </c>
      <c r="I43" s="6" t="str">
        <f>_xlfn.XLOOKUP(K:K,Products!B:B,Products!C:C," ")</f>
        <v>BrandA</v>
      </c>
      <c r="J43" s="8">
        <f>_xlfn.XLOOKUP(K:K,Products!B:B,Products!D:D," ")</f>
        <v>21.27</v>
      </c>
      <c r="K43">
        <v>16</v>
      </c>
      <c r="L43" t="s">
        <v>27</v>
      </c>
      <c r="M43" t="str">
        <f>_xlfn.XLOOKUP(K:K,Products!B:B,Products!A:A," ")</f>
        <v>Outdoor</v>
      </c>
    </row>
    <row r="44" spans="1:13" x14ac:dyDescent="0.2">
      <c r="A44" t="s">
        <v>16</v>
      </c>
      <c r="B44">
        <v>40.44</v>
      </c>
      <c r="C44">
        <v>43</v>
      </c>
      <c r="D44" t="s">
        <v>17</v>
      </c>
      <c r="E44">
        <v>8</v>
      </c>
      <c r="F44" s="6">
        <v>45165</v>
      </c>
      <c r="G44" s="6" t="str">
        <f>_xlfn.XLOOKUP(K:K,Products!B:B,Products!E:E," ")</f>
        <v>Sports</v>
      </c>
      <c r="H44" s="6" t="str">
        <f>_xlfn.XLOOKUP(Orders!K:K,Products!B:B,Products!F:F," ")</f>
        <v>Fitness Model 1</v>
      </c>
      <c r="I44" s="6" t="str">
        <f>_xlfn.XLOOKUP(K:K,Products!B:B,Products!C:C," ")</f>
        <v>BrandB</v>
      </c>
      <c r="J44" s="8">
        <f>_xlfn.XLOOKUP(K:K,Products!B:B,Products!D:D," ")</f>
        <v>227.4</v>
      </c>
      <c r="K44">
        <v>13</v>
      </c>
      <c r="L44" t="s">
        <v>28</v>
      </c>
      <c r="M44" t="str">
        <f>_xlfn.XLOOKUP(K:K,Products!B:B,Products!A:A," ")</f>
        <v>Fitness</v>
      </c>
    </row>
    <row r="45" spans="1:13" x14ac:dyDescent="0.2">
      <c r="A45" t="s">
        <v>25</v>
      </c>
      <c r="B45">
        <v>91.41</v>
      </c>
      <c r="C45">
        <v>44</v>
      </c>
      <c r="D45" t="s">
        <v>20</v>
      </c>
      <c r="E45">
        <v>31</v>
      </c>
      <c r="F45" s="6">
        <v>45084</v>
      </c>
      <c r="G45" s="6" t="str">
        <f>_xlfn.XLOOKUP(K:K,Products!B:B,Products!E:E," ")</f>
        <v xml:space="preserve"> </v>
      </c>
      <c r="H45" s="6" t="str">
        <f>_xlfn.XLOOKUP(Orders!K:K,Products!B:B,Products!F:F," ")</f>
        <v xml:space="preserve"> </v>
      </c>
      <c r="I45" s="6" t="str">
        <f>_xlfn.XLOOKUP(K:K,Products!B:B,Products!C:C," ")</f>
        <v xml:space="preserve"> </v>
      </c>
      <c r="J45" s="8" t="str">
        <f>_xlfn.XLOOKUP(K:K,Products!B:B,Products!D:D," ")</f>
        <v xml:space="preserve"> </v>
      </c>
      <c r="K45">
        <v>28</v>
      </c>
      <c r="L45" t="s">
        <v>18</v>
      </c>
      <c r="M45" t="str">
        <f>_xlfn.XLOOKUP(K:K,Products!B:B,Products!A:A," ")</f>
        <v xml:space="preserve"> </v>
      </c>
    </row>
    <row r="46" spans="1:13" x14ac:dyDescent="0.2">
      <c r="A46" t="s">
        <v>19</v>
      </c>
      <c r="B46">
        <v>178.08</v>
      </c>
      <c r="C46">
        <v>45</v>
      </c>
      <c r="D46" t="s">
        <v>24</v>
      </c>
      <c r="E46">
        <v>2</v>
      </c>
      <c r="F46" s="6">
        <v>44963</v>
      </c>
      <c r="G46" s="6" t="str">
        <f>_xlfn.XLOOKUP(K:K,Products!B:B,Products!E:E," ")</f>
        <v>Electronics</v>
      </c>
      <c r="H46" s="6" t="str">
        <f>_xlfn.XLOOKUP(Orders!K:K,Products!B:B,Products!F:F," ")</f>
        <v>Tablet Model 2</v>
      </c>
      <c r="I46" s="6" t="str">
        <f>_xlfn.XLOOKUP(K:K,Products!B:B,Products!C:C," ")</f>
        <v>BrandB</v>
      </c>
      <c r="J46" s="8">
        <f>_xlfn.XLOOKUP(K:K,Products!B:B,Products!D:D," ")</f>
        <v>184.01</v>
      </c>
      <c r="K46">
        <v>6</v>
      </c>
      <c r="L46" t="s">
        <v>26</v>
      </c>
      <c r="M46" t="str">
        <f>_xlfn.XLOOKUP(K:K,Products!B:B,Products!A:A," ")</f>
        <v>Tablet</v>
      </c>
    </row>
    <row r="47" spans="1:13" x14ac:dyDescent="0.2">
      <c r="A47" t="s">
        <v>25</v>
      </c>
      <c r="B47">
        <v>451.78</v>
      </c>
      <c r="C47">
        <v>46</v>
      </c>
      <c r="D47" t="s">
        <v>20</v>
      </c>
      <c r="E47">
        <v>46</v>
      </c>
      <c r="F47" s="6">
        <v>45043</v>
      </c>
      <c r="G47" s="6" t="str">
        <f>_xlfn.XLOOKUP(K:K,Products!B:B,Products!E:E," ")</f>
        <v>Home</v>
      </c>
      <c r="H47" s="6" t="str">
        <f>_xlfn.XLOOKUP(Orders!K:K,Products!B:B,Products!F:F," ")</f>
        <v>Furniture Model 2</v>
      </c>
      <c r="I47" s="6" t="str">
        <f>_xlfn.XLOOKUP(K:K,Products!B:B,Products!C:C," ")</f>
        <v>BrandD</v>
      </c>
      <c r="J47" s="8">
        <f>_xlfn.XLOOKUP(K:K,Products!B:B,Products!D:D," ")</f>
        <v>3.75</v>
      </c>
      <c r="K47">
        <v>10</v>
      </c>
      <c r="L47" t="s">
        <v>29</v>
      </c>
      <c r="M47" t="str">
        <f>_xlfn.XLOOKUP(K:K,Products!B:B,Products!A:A," ")</f>
        <v>Furniture</v>
      </c>
    </row>
    <row r="48" spans="1:13" x14ac:dyDescent="0.2">
      <c r="A48" t="s">
        <v>25</v>
      </c>
      <c r="B48">
        <v>432.65</v>
      </c>
      <c r="C48">
        <v>47</v>
      </c>
      <c r="D48" t="s">
        <v>24</v>
      </c>
      <c r="E48">
        <v>40</v>
      </c>
      <c r="F48" s="6">
        <v>45015</v>
      </c>
      <c r="G48" s="6" t="str">
        <f>_xlfn.XLOOKUP(K:K,Products!B:B,Products!E:E," ")</f>
        <v>Sports</v>
      </c>
      <c r="H48" s="6" t="str">
        <f>_xlfn.XLOOKUP(Orders!K:K,Products!B:B,Products!F:F," ")</f>
        <v>Clothing Model 1</v>
      </c>
      <c r="I48" s="6" t="str">
        <f>_xlfn.XLOOKUP(K:K,Products!B:B,Products!C:C," ")</f>
        <v>BrandD</v>
      </c>
      <c r="J48" s="8">
        <f>_xlfn.XLOOKUP(K:K,Products!B:B,Products!D:D," ")</f>
        <v>111.57</v>
      </c>
      <c r="K48">
        <v>17</v>
      </c>
      <c r="L48" t="s">
        <v>23</v>
      </c>
      <c r="M48" t="str">
        <f>_xlfn.XLOOKUP(K:K,Products!B:B,Products!A:A," ")</f>
        <v>Clothing</v>
      </c>
    </row>
    <row r="49" spans="1:13" x14ac:dyDescent="0.2">
      <c r="A49" t="s">
        <v>21</v>
      </c>
      <c r="B49">
        <v>189.95</v>
      </c>
      <c r="C49">
        <v>48</v>
      </c>
      <c r="D49" t="s">
        <v>20</v>
      </c>
      <c r="E49">
        <v>26</v>
      </c>
      <c r="F49" s="6">
        <v>45096</v>
      </c>
      <c r="G49" s="6" t="str">
        <f>_xlfn.XLOOKUP(K:K,Products!B:B,Products!E:E," ")</f>
        <v>Electronics</v>
      </c>
      <c r="H49" s="6" t="str">
        <f>_xlfn.XLOOKUP(Orders!K:K,Products!B:B,Products!F:F," ")</f>
        <v>Smartphone Model 1</v>
      </c>
      <c r="I49" s="6" t="str">
        <f>_xlfn.XLOOKUP(K:K,Products!B:B,Products!C:C," ")</f>
        <v>BrandC</v>
      </c>
      <c r="J49" s="8">
        <f>_xlfn.XLOOKUP(K:K,Products!B:B,Products!D:D," ")</f>
        <v>285.64999999999998</v>
      </c>
      <c r="K49">
        <v>1</v>
      </c>
      <c r="L49" t="s">
        <v>18</v>
      </c>
      <c r="M49" t="str">
        <f>_xlfn.XLOOKUP(K:K,Products!B:B,Products!A:A," ")</f>
        <v>Smartphone</v>
      </c>
    </row>
    <row r="50" spans="1:13" x14ac:dyDescent="0.2">
      <c r="A50" t="s">
        <v>25</v>
      </c>
      <c r="B50">
        <v>46.8</v>
      </c>
      <c r="C50">
        <v>49</v>
      </c>
      <c r="D50" t="s">
        <v>22</v>
      </c>
      <c r="E50">
        <v>5</v>
      </c>
      <c r="F50" s="6">
        <v>44959</v>
      </c>
      <c r="G50" s="6" t="str">
        <f>_xlfn.XLOOKUP(K:K,Products!B:B,Products!E:E," ")</f>
        <v xml:space="preserve"> </v>
      </c>
      <c r="H50" s="6" t="str">
        <f>_xlfn.XLOOKUP(Orders!K:K,Products!B:B,Products!F:F," ")</f>
        <v xml:space="preserve"> </v>
      </c>
      <c r="I50" s="6" t="str">
        <f>_xlfn.XLOOKUP(K:K,Products!B:B,Products!C:C," ")</f>
        <v xml:space="preserve"> </v>
      </c>
      <c r="J50" s="8" t="str">
        <f>_xlfn.XLOOKUP(K:K,Products!B:B,Products!D:D," ")</f>
        <v xml:space="preserve"> </v>
      </c>
      <c r="K50">
        <v>25</v>
      </c>
      <c r="L50" t="s">
        <v>29</v>
      </c>
      <c r="M50" t="str">
        <f>_xlfn.XLOOKUP(K:K,Products!B:B,Products!A:A," ")</f>
        <v xml:space="preserve"> </v>
      </c>
    </row>
    <row r="51" spans="1:13" x14ac:dyDescent="0.2">
      <c r="A51" t="s">
        <v>25</v>
      </c>
      <c r="B51">
        <v>452.13</v>
      </c>
      <c r="C51">
        <v>50</v>
      </c>
      <c r="D51" t="s">
        <v>20</v>
      </c>
      <c r="E51">
        <v>38</v>
      </c>
      <c r="F51" s="6">
        <v>45099</v>
      </c>
      <c r="G51" s="6" t="str">
        <f>_xlfn.XLOOKUP(K:K,Products!B:B,Products!E:E," ")</f>
        <v>Home</v>
      </c>
      <c r="H51" s="6" t="str">
        <f>_xlfn.XLOOKUP(Orders!K:K,Products!B:B,Products!F:F," ")</f>
        <v>Kitchen Model 2</v>
      </c>
      <c r="I51" s="6" t="str">
        <f>_xlfn.XLOOKUP(K:K,Products!B:B,Products!C:C," ")</f>
        <v>BrandC</v>
      </c>
      <c r="J51" s="8">
        <f>_xlfn.XLOOKUP(K:K,Products!B:B,Products!D:D," ")</f>
        <v>163.13999999999999</v>
      </c>
      <c r="K51">
        <v>8</v>
      </c>
      <c r="L51" t="s">
        <v>28</v>
      </c>
      <c r="M51" t="str">
        <f>_xlfn.XLOOKUP(K:K,Products!B:B,Products!A:A," ")</f>
        <v>Kitchen</v>
      </c>
    </row>
    <row r="52" spans="1:13" x14ac:dyDescent="0.2">
      <c r="A52" t="s">
        <v>25</v>
      </c>
      <c r="B52">
        <v>156.1</v>
      </c>
      <c r="C52">
        <v>51</v>
      </c>
      <c r="D52" t="s">
        <v>24</v>
      </c>
      <c r="E52">
        <v>43</v>
      </c>
      <c r="F52" s="6">
        <v>45220</v>
      </c>
      <c r="G52" s="6" t="str">
        <f>_xlfn.XLOOKUP(K:K,Products!B:B,Products!E:E," ")</f>
        <v>Electronics</v>
      </c>
      <c r="H52" s="6" t="str">
        <f>_xlfn.XLOOKUP(Orders!K:K,Products!B:B,Products!F:F," ")</f>
        <v>Laptop Model 2</v>
      </c>
      <c r="I52" s="6" t="str">
        <f>_xlfn.XLOOKUP(K:K,Products!B:B,Products!C:C," ")</f>
        <v>BrandB</v>
      </c>
      <c r="J52" s="8">
        <f>_xlfn.XLOOKUP(K:K,Products!B:B,Products!D:D," ")</f>
        <v>65.05</v>
      </c>
      <c r="K52">
        <v>4</v>
      </c>
      <c r="L52" t="s">
        <v>28</v>
      </c>
      <c r="M52" t="str">
        <f>_xlfn.XLOOKUP(K:K,Products!B:B,Products!A:A," ")</f>
        <v>Laptop</v>
      </c>
    </row>
    <row r="53" spans="1:13" x14ac:dyDescent="0.2">
      <c r="A53" t="s">
        <v>16</v>
      </c>
      <c r="B53">
        <v>174.49</v>
      </c>
      <c r="C53">
        <v>52</v>
      </c>
      <c r="D53" t="s">
        <v>17</v>
      </c>
      <c r="E53">
        <v>30</v>
      </c>
      <c r="F53" s="6">
        <v>45062</v>
      </c>
      <c r="G53" s="6" t="str">
        <f>_xlfn.XLOOKUP(K:K,Products!B:B,Products!E:E," ")</f>
        <v xml:space="preserve"> </v>
      </c>
      <c r="H53" s="6" t="str">
        <f>_xlfn.XLOOKUP(Orders!K:K,Products!B:B,Products!F:F," ")</f>
        <v xml:space="preserve"> </v>
      </c>
      <c r="I53" s="6" t="str">
        <f>_xlfn.XLOOKUP(K:K,Products!B:B,Products!C:C," ")</f>
        <v xml:space="preserve"> </v>
      </c>
      <c r="J53" s="8" t="str">
        <f>_xlfn.XLOOKUP(K:K,Products!B:B,Products!D:D," ")</f>
        <v xml:space="preserve"> </v>
      </c>
      <c r="K53">
        <v>26</v>
      </c>
      <c r="L53" t="s">
        <v>27</v>
      </c>
      <c r="M53" t="str">
        <f>_xlfn.XLOOKUP(K:K,Products!B:B,Products!A:A," ")</f>
        <v xml:space="preserve"> </v>
      </c>
    </row>
    <row r="54" spans="1:13" x14ac:dyDescent="0.2">
      <c r="A54" t="s">
        <v>21</v>
      </c>
      <c r="B54">
        <v>329.5</v>
      </c>
      <c r="C54">
        <v>53</v>
      </c>
      <c r="D54" t="s">
        <v>20</v>
      </c>
      <c r="E54">
        <v>12</v>
      </c>
      <c r="F54" s="6">
        <v>45246</v>
      </c>
      <c r="G54" s="6" t="str">
        <f>_xlfn.XLOOKUP(K:K,Products!B:B,Products!E:E," ")</f>
        <v xml:space="preserve"> </v>
      </c>
      <c r="H54" s="6" t="str">
        <f>_xlfn.XLOOKUP(Orders!K:K,Products!B:B,Products!F:F," ")</f>
        <v xml:space="preserve"> </v>
      </c>
      <c r="I54" s="6" t="str">
        <f>_xlfn.XLOOKUP(K:K,Products!B:B,Products!C:C," ")</f>
        <v xml:space="preserve"> </v>
      </c>
      <c r="J54" s="8" t="str">
        <f>_xlfn.XLOOKUP(K:K,Products!B:B,Products!D:D," ")</f>
        <v xml:space="preserve"> </v>
      </c>
      <c r="K54">
        <v>30</v>
      </c>
      <c r="L54" t="s">
        <v>28</v>
      </c>
      <c r="M54" t="str">
        <f>_xlfn.XLOOKUP(K:K,Products!B:B,Products!A:A," ")</f>
        <v xml:space="preserve"> </v>
      </c>
    </row>
    <row r="55" spans="1:13" x14ac:dyDescent="0.2">
      <c r="A55" t="s">
        <v>19</v>
      </c>
      <c r="B55">
        <v>307.56</v>
      </c>
      <c r="C55">
        <v>54</v>
      </c>
      <c r="D55" t="s">
        <v>22</v>
      </c>
      <c r="E55">
        <v>12</v>
      </c>
      <c r="F55" s="6">
        <v>45148</v>
      </c>
      <c r="G55" s="6" t="str">
        <f>_xlfn.XLOOKUP(K:K,Products!B:B,Products!E:E," ")</f>
        <v>Sports</v>
      </c>
      <c r="H55" s="6" t="str">
        <f>_xlfn.XLOOKUP(Orders!K:K,Products!B:B,Products!F:F," ")</f>
        <v>Fitness Model 2</v>
      </c>
      <c r="I55" s="6" t="str">
        <f>_xlfn.XLOOKUP(K:K,Products!B:B,Products!C:C," ")</f>
        <v>BrandA</v>
      </c>
      <c r="J55" s="8">
        <f>_xlfn.XLOOKUP(K:K,Products!B:B,Products!D:D," ")</f>
        <v>63.68</v>
      </c>
      <c r="K55">
        <v>14</v>
      </c>
      <c r="L55" t="s">
        <v>27</v>
      </c>
      <c r="M55" t="str">
        <f>_xlfn.XLOOKUP(K:K,Products!B:B,Products!A:A," ")</f>
        <v>Fitness</v>
      </c>
    </row>
    <row r="56" spans="1:13" x14ac:dyDescent="0.2">
      <c r="A56" t="s">
        <v>16</v>
      </c>
      <c r="B56">
        <v>382.13</v>
      </c>
      <c r="C56">
        <v>55</v>
      </c>
      <c r="D56" t="s">
        <v>17</v>
      </c>
      <c r="E56">
        <v>31</v>
      </c>
      <c r="F56" s="6">
        <v>45241</v>
      </c>
      <c r="G56" s="6" t="str">
        <f>_xlfn.XLOOKUP(K:K,Products!B:B,Products!E:E," ")</f>
        <v>Office</v>
      </c>
      <c r="H56" s="6" t="str">
        <f>_xlfn.XLOOKUP(Orders!K:K,Products!B:B,Products!F:F," ")</f>
        <v>Stationery Model 2</v>
      </c>
      <c r="I56" s="6" t="str">
        <f>_xlfn.XLOOKUP(K:K,Products!B:B,Products!C:C," ")</f>
        <v>BrandC</v>
      </c>
      <c r="J56" s="8">
        <f>_xlfn.XLOOKUP(K:K,Products!B:B,Products!D:D," ")</f>
        <v>170.2</v>
      </c>
      <c r="K56">
        <v>20</v>
      </c>
      <c r="L56" t="s">
        <v>26</v>
      </c>
      <c r="M56" t="str">
        <f>_xlfn.XLOOKUP(K:K,Products!B:B,Products!A:A," ")</f>
        <v>Stationery</v>
      </c>
    </row>
    <row r="57" spans="1:13" x14ac:dyDescent="0.2">
      <c r="A57" t="s">
        <v>25</v>
      </c>
      <c r="B57">
        <v>129.69999999999999</v>
      </c>
      <c r="C57">
        <v>56</v>
      </c>
      <c r="D57" t="s">
        <v>17</v>
      </c>
      <c r="E57">
        <v>13</v>
      </c>
      <c r="F57" s="6">
        <v>45172</v>
      </c>
      <c r="G57" s="6" t="str">
        <f>_xlfn.XLOOKUP(K:K,Products!B:B,Products!E:E," ")</f>
        <v>Office</v>
      </c>
      <c r="H57" s="6" t="str">
        <f>_xlfn.XLOOKUP(Orders!K:K,Products!B:B,Products!F:F," ")</f>
        <v>Printers Model 1</v>
      </c>
      <c r="I57" s="6" t="str">
        <f>_xlfn.XLOOKUP(K:K,Products!B:B,Products!C:C," ")</f>
        <v>BrandA</v>
      </c>
      <c r="J57" s="8">
        <f>_xlfn.XLOOKUP(K:K,Products!B:B,Products!D:D," ")</f>
        <v>36.47</v>
      </c>
      <c r="K57">
        <v>23</v>
      </c>
      <c r="L57" t="s">
        <v>18</v>
      </c>
      <c r="M57" t="str">
        <f>_xlfn.XLOOKUP(K:K,Products!B:B,Products!A:A," ")</f>
        <v>Printers</v>
      </c>
    </row>
    <row r="58" spans="1:13" x14ac:dyDescent="0.2">
      <c r="A58" t="s">
        <v>19</v>
      </c>
      <c r="B58">
        <v>198.66</v>
      </c>
      <c r="C58">
        <v>57</v>
      </c>
      <c r="D58" t="s">
        <v>17</v>
      </c>
      <c r="E58">
        <v>33</v>
      </c>
      <c r="F58" s="6">
        <v>45048</v>
      </c>
      <c r="G58" s="6" t="str">
        <f>_xlfn.XLOOKUP(K:K,Products!B:B,Products!E:E," ")</f>
        <v>Office</v>
      </c>
      <c r="H58" s="6" t="str">
        <f>_xlfn.XLOOKUP(Orders!K:K,Products!B:B,Products!F:F," ")</f>
        <v>Stationery Model 1</v>
      </c>
      <c r="I58" s="6" t="str">
        <f>_xlfn.XLOOKUP(K:K,Products!B:B,Products!C:C," ")</f>
        <v>BrandB</v>
      </c>
      <c r="J58" s="8">
        <f>_xlfn.XLOOKUP(K:K,Products!B:B,Products!D:D," ")</f>
        <v>73</v>
      </c>
      <c r="K58">
        <v>19</v>
      </c>
      <c r="L58" t="s">
        <v>27</v>
      </c>
      <c r="M58" t="str">
        <f>_xlfn.XLOOKUP(K:K,Products!B:B,Products!A:A," ")</f>
        <v>Stationery</v>
      </c>
    </row>
    <row r="59" spans="1:13" x14ac:dyDescent="0.2">
      <c r="A59" t="s">
        <v>19</v>
      </c>
      <c r="B59">
        <v>113.72</v>
      </c>
      <c r="C59">
        <v>58</v>
      </c>
      <c r="D59" t="s">
        <v>24</v>
      </c>
      <c r="E59">
        <v>30</v>
      </c>
      <c r="F59" s="6">
        <v>45106</v>
      </c>
      <c r="G59" s="6" t="str">
        <f>_xlfn.XLOOKUP(K:K,Products!B:B,Products!E:E," ")</f>
        <v>Home</v>
      </c>
      <c r="H59" s="6" t="str">
        <f>_xlfn.XLOOKUP(Orders!K:K,Products!B:B,Products!F:F," ")</f>
        <v>Cleaning Model 1</v>
      </c>
      <c r="I59" s="6" t="str">
        <f>_xlfn.XLOOKUP(K:K,Products!B:B,Products!C:C," ")</f>
        <v>BrandD</v>
      </c>
      <c r="J59" s="8">
        <f>_xlfn.XLOOKUP(K:K,Products!B:B,Products!D:D," ")</f>
        <v>191.61</v>
      </c>
      <c r="K59">
        <v>11</v>
      </c>
      <c r="L59" t="s">
        <v>23</v>
      </c>
      <c r="M59" t="str">
        <f>_xlfn.XLOOKUP(K:K,Products!B:B,Products!A:A," ")</f>
        <v>Cleaning</v>
      </c>
    </row>
    <row r="60" spans="1:13" x14ac:dyDescent="0.2">
      <c r="A60" t="s">
        <v>19</v>
      </c>
      <c r="B60">
        <v>192.94</v>
      </c>
      <c r="C60">
        <v>59</v>
      </c>
      <c r="D60" t="s">
        <v>24</v>
      </c>
      <c r="E60">
        <v>42</v>
      </c>
      <c r="F60" s="6">
        <v>45168</v>
      </c>
      <c r="G60" s="6" t="str">
        <f>_xlfn.XLOOKUP(K:K,Products!B:B,Products!E:E," ")</f>
        <v xml:space="preserve"> </v>
      </c>
      <c r="H60" s="6" t="str">
        <f>_xlfn.XLOOKUP(Orders!K:K,Products!B:B,Products!F:F," ")</f>
        <v xml:space="preserve"> </v>
      </c>
      <c r="I60" s="6" t="str">
        <f>_xlfn.XLOOKUP(K:K,Products!B:B,Products!C:C," ")</f>
        <v xml:space="preserve"> </v>
      </c>
      <c r="J60" s="8" t="str">
        <f>_xlfn.XLOOKUP(K:K,Products!B:B,Products!D:D," ")</f>
        <v xml:space="preserve"> </v>
      </c>
      <c r="K60">
        <v>26</v>
      </c>
      <c r="L60" t="s">
        <v>27</v>
      </c>
      <c r="M60" t="str">
        <f>_xlfn.XLOOKUP(K:K,Products!B:B,Products!A:A," ")</f>
        <v xml:space="preserve"> </v>
      </c>
    </row>
    <row r="61" spans="1:13" x14ac:dyDescent="0.2">
      <c r="A61" t="s">
        <v>19</v>
      </c>
      <c r="B61">
        <v>450</v>
      </c>
      <c r="C61">
        <v>60</v>
      </c>
      <c r="D61" t="s">
        <v>17</v>
      </c>
      <c r="E61">
        <v>43</v>
      </c>
      <c r="F61" s="6">
        <v>45114</v>
      </c>
      <c r="G61" s="6" t="str">
        <f>_xlfn.XLOOKUP(K:K,Products!B:B,Products!E:E," ")</f>
        <v>Electronics</v>
      </c>
      <c r="H61" s="6" t="str">
        <f>_xlfn.XLOOKUP(Orders!K:K,Products!B:B,Products!F:F," ")</f>
        <v>Laptop Model 1</v>
      </c>
      <c r="I61" s="6" t="str">
        <f>_xlfn.XLOOKUP(K:K,Products!B:B,Products!C:C," ")</f>
        <v>BrandB</v>
      </c>
      <c r="J61" s="8">
        <f>_xlfn.XLOOKUP(K:K,Products!B:B,Products!D:D," ")</f>
        <v>251.46</v>
      </c>
      <c r="K61">
        <v>3</v>
      </c>
      <c r="L61" t="s">
        <v>26</v>
      </c>
      <c r="M61" t="str">
        <f>_xlfn.XLOOKUP(K:K,Products!B:B,Products!A:A," ")</f>
        <v>Laptop</v>
      </c>
    </row>
    <row r="62" spans="1:13" x14ac:dyDescent="0.2">
      <c r="A62" t="s">
        <v>19</v>
      </c>
      <c r="B62">
        <v>47.61</v>
      </c>
      <c r="C62">
        <v>61</v>
      </c>
      <c r="D62" t="s">
        <v>22</v>
      </c>
      <c r="E62">
        <v>10</v>
      </c>
      <c r="F62" s="6">
        <v>45150</v>
      </c>
      <c r="G62" s="6" t="str">
        <f>_xlfn.XLOOKUP(K:K,Products!B:B,Products!E:E," ")</f>
        <v>Electronics</v>
      </c>
      <c r="H62" s="6" t="str">
        <f>_xlfn.XLOOKUP(Orders!K:K,Products!B:B,Products!F:F," ")</f>
        <v>Laptop Model 1</v>
      </c>
      <c r="I62" s="6" t="str">
        <f>_xlfn.XLOOKUP(K:K,Products!B:B,Products!C:C," ")</f>
        <v>BrandB</v>
      </c>
      <c r="J62" s="8">
        <f>_xlfn.XLOOKUP(K:K,Products!B:B,Products!D:D," ")</f>
        <v>251.46</v>
      </c>
      <c r="K62">
        <v>3</v>
      </c>
      <c r="L62" t="s">
        <v>26</v>
      </c>
      <c r="M62" t="str">
        <f>_xlfn.XLOOKUP(K:K,Products!B:B,Products!A:A," ")</f>
        <v>Laptop</v>
      </c>
    </row>
    <row r="63" spans="1:13" x14ac:dyDescent="0.2">
      <c r="A63" t="s">
        <v>25</v>
      </c>
      <c r="B63">
        <v>133.80000000000001</v>
      </c>
      <c r="C63">
        <v>62</v>
      </c>
      <c r="D63" t="s">
        <v>22</v>
      </c>
      <c r="E63">
        <v>7</v>
      </c>
      <c r="F63" s="6">
        <v>44979</v>
      </c>
      <c r="G63" s="6" t="str">
        <f>_xlfn.XLOOKUP(K:K,Products!B:B,Products!E:E," ")</f>
        <v>Office</v>
      </c>
      <c r="H63" s="6" t="str">
        <f>_xlfn.XLOOKUP(Orders!K:K,Products!B:B,Products!F:F," ")</f>
        <v>Office Furniture Model 2</v>
      </c>
      <c r="I63" s="6" t="str">
        <f>_xlfn.XLOOKUP(K:K,Products!B:B,Products!C:C," ")</f>
        <v>BrandA</v>
      </c>
      <c r="J63" s="8">
        <f>_xlfn.XLOOKUP(K:K,Products!B:B,Products!D:D," ")</f>
        <v>59.72</v>
      </c>
      <c r="K63">
        <v>22</v>
      </c>
      <c r="L63" t="s">
        <v>18</v>
      </c>
      <c r="M63" t="str">
        <f>_xlfn.XLOOKUP(K:K,Products!B:B,Products!A:A," ")</f>
        <v>Office Furniture</v>
      </c>
    </row>
    <row r="64" spans="1:13" x14ac:dyDescent="0.2">
      <c r="A64" t="s">
        <v>25</v>
      </c>
      <c r="B64">
        <v>140.82</v>
      </c>
      <c r="C64">
        <v>63</v>
      </c>
      <c r="D64" t="s">
        <v>20</v>
      </c>
      <c r="E64">
        <v>49</v>
      </c>
      <c r="F64" s="6">
        <v>45169</v>
      </c>
      <c r="G64" s="6" t="str">
        <f>_xlfn.XLOOKUP(K:K,Products!B:B,Products!E:E," ")</f>
        <v>Home</v>
      </c>
      <c r="H64" s="6" t="str">
        <f>_xlfn.XLOOKUP(Orders!K:K,Products!B:B,Products!F:F," ")</f>
        <v>Kitchen Model 2</v>
      </c>
      <c r="I64" s="6" t="str">
        <f>_xlfn.XLOOKUP(K:K,Products!B:B,Products!C:C," ")</f>
        <v>BrandC</v>
      </c>
      <c r="J64" s="8">
        <f>_xlfn.XLOOKUP(K:K,Products!B:B,Products!D:D," ")</f>
        <v>163.13999999999999</v>
      </c>
      <c r="K64">
        <v>8</v>
      </c>
      <c r="L64" t="s">
        <v>18</v>
      </c>
      <c r="M64" t="str">
        <f>_xlfn.XLOOKUP(K:K,Products!B:B,Products!A:A," ")</f>
        <v>Kitchen</v>
      </c>
    </row>
    <row r="65" spans="1:13" x14ac:dyDescent="0.2">
      <c r="A65" t="s">
        <v>16</v>
      </c>
      <c r="B65">
        <v>151.52000000000001</v>
      </c>
      <c r="C65">
        <v>64</v>
      </c>
      <c r="D65" t="s">
        <v>17</v>
      </c>
      <c r="E65">
        <v>25</v>
      </c>
      <c r="F65" s="6">
        <v>45013</v>
      </c>
      <c r="G65" s="6" t="str">
        <f>_xlfn.XLOOKUP(K:K,Products!B:B,Products!E:E," ")</f>
        <v>Office</v>
      </c>
      <c r="H65" s="6" t="str">
        <f>_xlfn.XLOOKUP(Orders!K:K,Products!B:B,Products!F:F," ")</f>
        <v>Office Furniture Model 2</v>
      </c>
      <c r="I65" s="6" t="str">
        <f>_xlfn.XLOOKUP(K:K,Products!B:B,Products!C:C," ")</f>
        <v>BrandA</v>
      </c>
      <c r="J65" s="8">
        <f>_xlfn.XLOOKUP(K:K,Products!B:B,Products!D:D," ")</f>
        <v>59.72</v>
      </c>
      <c r="K65">
        <v>22</v>
      </c>
      <c r="L65" t="s">
        <v>26</v>
      </c>
      <c r="M65" t="str">
        <f>_xlfn.XLOOKUP(K:K,Products!B:B,Products!A:A," ")</f>
        <v>Office Furniture</v>
      </c>
    </row>
    <row r="66" spans="1:13" x14ac:dyDescent="0.2">
      <c r="A66" t="s">
        <v>16</v>
      </c>
      <c r="B66">
        <v>97.53</v>
      </c>
      <c r="C66">
        <v>65</v>
      </c>
      <c r="D66" t="s">
        <v>17</v>
      </c>
      <c r="E66">
        <v>23</v>
      </c>
      <c r="F66" s="6">
        <v>45176</v>
      </c>
      <c r="G66" s="6" t="str">
        <f>_xlfn.XLOOKUP(K:K,Products!B:B,Products!E:E," ")</f>
        <v>Office</v>
      </c>
      <c r="H66" s="6" t="str">
        <f>_xlfn.XLOOKUP(Orders!K:K,Products!B:B,Products!F:F," ")</f>
        <v>Office Furniture Model 1</v>
      </c>
      <c r="I66" s="6" t="str">
        <f>_xlfn.XLOOKUP(K:K,Products!B:B,Products!C:C," ")</f>
        <v>BrandC</v>
      </c>
      <c r="J66" s="8">
        <f>_xlfn.XLOOKUP(K:K,Products!B:B,Products!D:D," ")</f>
        <v>67.66</v>
      </c>
      <c r="K66">
        <v>21</v>
      </c>
      <c r="L66" t="s">
        <v>23</v>
      </c>
      <c r="M66" t="str">
        <f>_xlfn.XLOOKUP(K:K,Products!B:B,Products!A:A," ")</f>
        <v>Office Furniture</v>
      </c>
    </row>
    <row r="67" spans="1:13" x14ac:dyDescent="0.2">
      <c r="A67" t="s">
        <v>19</v>
      </c>
      <c r="B67">
        <v>97.22</v>
      </c>
      <c r="C67">
        <v>66</v>
      </c>
      <c r="D67" t="s">
        <v>22</v>
      </c>
      <c r="E67">
        <v>21</v>
      </c>
      <c r="F67" s="6">
        <v>45156</v>
      </c>
      <c r="G67" s="6" t="str">
        <f>_xlfn.XLOOKUP(K:K,Products!B:B,Products!E:E," ")</f>
        <v xml:space="preserve"> </v>
      </c>
      <c r="H67" s="6" t="str">
        <f>_xlfn.XLOOKUP(Orders!K:K,Products!B:B,Products!F:F," ")</f>
        <v xml:space="preserve"> </v>
      </c>
      <c r="I67" s="6" t="str">
        <f>_xlfn.XLOOKUP(K:K,Products!B:B,Products!C:C," ")</f>
        <v xml:space="preserve"> </v>
      </c>
      <c r="J67" s="8" t="str">
        <f>_xlfn.XLOOKUP(K:K,Products!B:B,Products!D:D," ")</f>
        <v xml:space="preserve"> </v>
      </c>
      <c r="K67">
        <v>28</v>
      </c>
      <c r="L67" t="s">
        <v>27</v>
      </c>
      <c r="M67" t="str">
        <f>_xlfn.XLOOKUP(K:K,Products!B:B,Products!A:A," ")</f>
        <v xml:space="preserve"> </v>
      </c>
    </row>
    <row r="68" spans="1:13" x14ac:dyDescent="0.2">
      <c r="A68" t="s">
        <v>21</v>
      </c>
      <c r="B68">
        <v>450.73</v>
      </c>
      <c r="C68">
        <v>67</v>
      </c>
      <c r="D68" t="s">
        <v>24</v>
      </c>
      <c r="E68">
        <v>38</v>
      </c>
      <c r="F68" s="6">
        <v>44966</v>
      </c>
      <c r="G68" s="6" t="str">
        <f>_xlfn.XLOOKUP(K:K,Products!B:B,Products!E:E," ")</f>
        <v>Home</v>
      </c>
      <c r="H68" s="6" t="str">
        <f>_xlfn.XLOOKUP(Orders!K:K,Products!B:B,Products!F:F," ")</f>
        <v>Furniture Model 2</v>
      </c>
      <c r="I68" s="6" t="str">
        <f>_xlfn.XLOOKUP(K:K,Products!B:B,Products!C:C," ")</f>
        <v>BrandD</v>
      </c>
      <c r="J68" s="8">
        <f>_xlfn.XLOOKUP(K:K,Products!B:B,Products!D:D," ")</f>
        <v>3.75</v>
      </c>
      <c r="K68">
        <v>10</v>
      </c>
      <c r="L68" t="s">
        <v>18</v>
      </c>
      <c r="M68" t="str">
        <f>_xlfn.XLOOKUP(K:K,Products!B:B,Products!A:A," ")</f>
        <v>Furniture</v>
      </c>
    </row>
    <row r="69" spans="1:13" x14ac:dyDescent="0.2">
      <c r="A69" t="s">
        <v>21</v>
      </c>
      <c r="B69">
        <v>439.28</v>
      </c>
      <c r="C69">
        <v>68</v>
      </c>
      <c r="D69" t="s">
        <v>20</v>
      </c>
      <c r="E69">
        <v>46</v>
      </c>
      <c r="F69" s="6">
        <v>45046</v>
      </c>
      <c r="G69" s="6" t="str">
        <f>_xlfn.XLOOKUP(K:K,Products!B:B,Products!E:E," ")</f>
        <v xml:space="preserve"> </v>
      </c>
      <c r="H69" s="6" t="str">
        <f>_xlfn.XLOOKUP(Orders!K:K,Products!B:B,Products!F:F," ")</f>
        <v xml:space="preserve"> </v>
      </c>
      <c r="I69" s="6" t="str">
        <f>_xlfn.XLOOKUP(K:K,Products!B:B,Products!C:C," ")</f>
        <v xml:space="preserve"> </v>
      </c>
      <c r="J69" s="8" t="str">
        <f>_xlfn.XLOOKUP(K:K,Products!B:B,Products!D:D," ")</f>
        <v xml:space="preserve"> </v>
      </c>
      <c r="K69">
        <v>28</v>
      </c>
      <c r="L69" t="s">
        <v>27</v>
      </c>
      <c r="M69" t="str">
        <f>_xlfn.XLOOKUP(K:K,Products!B:B,Products!A:A," ")</f>
        <v xml:space="preserve"> </v>
      </c>
    </row>
    <row r="70" spans="1:13" x14ac:dyDescent="0.2">
      <c r="A70" t="s">
        <v>16</v>
      </c>
      <c r="B70">
        <v>303.98</v>
      </c>
      <c r="C70">
        <v>69</v>
      </c>
      <c r="D70" t="s">
        <v>20</v>
      </c>
      <c r="E70">
        <v>37</v>
      </c>
      <c r="F70" s="6">
        <v>45196</v>
      </c>
      <c r="G70" s="6" t="str">
        <f>_xlfn.XLOOKUP(K:K,Products!B:B,Products!E:E," ")</f>
        <v xml:space="preserve"> </v>
      </c>
      <c r="H70" s="6" t="str">
        <f>_xlfn.XLOOKUP(Orders!K:K,Products!B:B,Products!F:F," ")</f>
        <v xml:space="preserve"> </v>
      </c>
      <c r="I70" s="6" t="str">
        <f>_xlfn.XLOOKUP(K:K,Products!B:B,Products!C:C," ")</f>
        <v xml:space="preserve"> </v>
      </c>
      <c r="J70" s="8" t="str">
        <f>_xlfn.XLOOKUP(K:K,Products!B:B,Products!D:D," ")</f>
        <v xml:space="preserve"> </v>
      </c>
      <c r="K70">
        <v>30</v>
      </c>
      <c r="L70" t="s">
        <v>27</v>
      </c>
      <c r="M70" t="str">
        <f>_xlfn.XLOOKUP(K:K,Products!B:B,Products!A:A," ")</f>
        <v xml:space="preserve"> </v>
      </c>
    </row>
    <row r="71" spans="1:13" x14ac:dyDescent="0.2">
      <c r="A71" t="s">
        <v>19</v>
      </c>
      <c r="B71">
        <v>44</v>
      </c>
      <c r="C71">
        <v>70</v>
      </c>
      <c r="D71" t="s">
        <v>17</v>
      </c>
      <c r="E71">
        <v>16</v>
      </c>
      <c r="F71" s="6">
        <v>45181</v>
      </c>
      <c r="G71" s="6" t="str">
        <f>_xlfn.XLOOKUP(K:K,Products!B:B,Products!E:E," ")</f>
        <v>Sports</v>
      </c>
      <c r="H71" s="6" t="str">
        <f>_xlfn.XLOOKUP(Orders!K:K,Products!B:B,Products!F:F," ")</f>
        <v>Clothing Model 1</v>
      </c>
      <c r="I71" s="6" t="str">
        <f>_xlfn.XLOOKUP(K:K,Products!B:B,Products!C:C," ")</f>
        <v>BrandD</v>
      </c>
      <c r="J71" s="8">
        <f>_xlfn.XLOOKUP(K:K,Products!B:B,Products!D:D," ")</f>
        <v>111.57</v>
      </c>
      <c r="K71">
        <v>17</v>
      </c>
      <c r="L71" t="s">
        <v>26</v>
      </c>
      <c r="M71" t="str">
        <f>_xlfn.XLOOKUP(K:K,Products!B:B,Products!A:A," ")</f>
        <v>Clothing</v>
      </c>
    </row>
    <row r="72" spans="1:13" x14ac:dyDescent="0.2">
      <c r="A72" t="s">
        <v>25</v>
      </c>
      <c r="B72">
        <v>342.06</v>
      </c>
      <c r="C72">
        <v>71</v>
      </c>
      <c r="D72" t="s">
        <v>20</v>
      </c>
      <c r="E72">
        <v>13</v>
      </c>
      <c r="F72" s="6">
        <v>45014</v>
      </c>
      <c r="G72" s="6" t="str">
        <f>_xlfn.XLOOKUP(K:K,Products!B:B,Products!E:E," ")</f>
        <v>Sports</v>
      </c>
      <c r="H72" s="6" t="str">
        <f>_xlfn.XLOOKUP(Orders!K:K,Products!B:B,Products!F:F," ")</f>
        <v>Clothing Model 1</v>
      </c>
      <c r="I72" s="6" t="str">
        <f>_xlfn.XLOOKUP(K:K,Products!B:B,Products!C:C," ")</f>
        <v>BrandD</v>
      </c>
      <c r="J72" s="8">
        <f>_xlfn.XLOOKUP(K:K,Products!B:B,Products!D:D," ")</f>
        <v>111.57</v>
      </c>
      <c r="K72">
        <v>17</v>
      </c>
      <c r="L72" t="s">
        <v>27</v>
      </c>
      <c r="M72" t="str">
        <f>_xlfn.XLOOKUP(K:K,Products!B:B,Products!A:A," ")</f>
        <v>Clothing</v>
      </c>
    </row>
    <row r="73" spans="1:13" x14ac:dyDescent="0.2">
      <c r="A73" t="s">
        <v>25</v>
      </c>
      <c r="B73">
        <v>143.09</v>
      </c>
      <c r="C73">
        <v>72</v>
      </c>
      <c r="D73" t="s">
        <v>17</v>
      </c>
      <c r="E73">
        <v>23</v>
      </c>
      <c r="F73" s="6">
        <v>45240</v>
      </c>
      <c r="G73" s="6" t="str">
        <f>_xlfn.XLOOKUP(K:K,Products!B:B,Products!E:E," ")</f>
        <v>Sports</v>
      </c>
      <c r="H73" s="6" t="str">
        <f>_xlfn.XLOOKUP(Orders!K:K,Products!B:B,Products!F:F," ")</f>
        <v>Fitness Model 1</v>
      </c>
      <c r="I73" s="6" t="str">
        <f>_xlfn.XLOOKUP(K:K,Products!B:B,Products!C:C," ")</f>
        <v>BrandB</v>
      </c>
      <c r="J73" s="8">
        <f>_xlfn.XLOOKUP(K:K,Products!B:B,Products!D:D," ")</f>
        <v>227.4</v>
      </c>
      <c r="K73">
        <v>13</v>
      </c>
      <c r="L73" t="s">
        <v>28</v>
      </c>
      <c r="M73" t="str">
        <f>_xlfn.XLOOKUP(K:K,Products!B:B,Products!A:A," ")</f>
        <v>Fitness</v>
      </c>
    </row>
    <row r="74" spans="1:13" x14ac:dyDescent="0.2">
      <c r="A74" t="s">
        <v>19</v>
      </c>
      <c r="B74">
        <v>44.92</v>
      </c>
      <c r="C74">
        <v>73</v>
      </c>
      <c r="D74" t="s">
        <v>20</v>
      </c>
      <c r="E74">
        <v>12</v>
      </c>
      <c r="F74" s="6">
        <v>45065</v>
      </c>
      <c r="G74" s="6" t="str">
        <f>_xlfn.XLOOKUP(K:K,Products!B:B,Products!E:E," ")</f>
        <v>Electronics</v>
      </c>
      <c r="H74" s="6" t="str">
        <f>_xlfn.XLOOKUP(Orders!K:K,Products!B:B,Products!F:F," ")</f>
        <v>Tablet Model 2</v>
      </c>
      <c r="I74" s="6" t="str">
        <f>_xlfn.XLOOKUP(K:K,Products!B:B,Products!C:C," ")</f>
        <v>BrandB</v>
      </c>
      <c r="J74" s="8">
        <f>_xlfn.XLOOKUP(K:K,Products!B:B,Products!D:D," ")</f>
        <v>184.01</v>
      </c>
      <c r="K74">
        <v>6</v>
      </c>
      <c r="L74" t="s">
        <v>27</v>
      </c>
      <c r="M74" t="str">
        <f>_xlfn.XLOOKUP(K:K,Products!B:B,Products!A:A," ")</f>
        <v>Tablet</v>
      </c>
    </row>
    <row r="75" spans="1:13" x14ac:dyDescent="0.2">
      <c r="A75" t="s">
        <v>16</v>
      </c>
      <c r="B75">
        <v>198.7</v>
      </c>
      <c r="C75">
        <v>74</v>
      </c>
      <c r="D75" t="s">
        <v>22</v>
      </c>
      <c r="E75">
        <v>37</v>
      </c>
      <c r="F75" s="6">
        <v>45138</v>
      </c>
      <c r="G75" s="6" t="str">
        <f>_xlfn.XLOOKUP(K:K,Products!B:B,Products!E:E," ")</f>
        <v xml:space="preserve"> </v>
      </c>
      <c r="H75" s="6" t="str">
        <f>_xlfn.XLOOKUP(Orders!K:K,Products!B:B,Products!F:F," ")</f>
        <v xml:space="preserve"> </v>
      </c>
      <c r="I75" s="6" t="str">
        <f>_xlfn.XLOOKUP(K:K,Products!B:B,Products!C:C," ")</f>
        <v xml:space="preserve"> </v>
      </c>
      <c r="J75" s="8" t="str">
        <f>_xlfn.XLOOKUP(K:K,Products!B:B,Products!D:D," ")</f>
        <v xml:space="preserve"> </v>
      </c>
      <c r="K75">
        <v>25</v>
      </c>
      <c r="L75" t="s">
        <v>27</v>
      </c>
      <c r="M75" t="str">
        <f>_xlfn.XLOOKUP(K:K,Products!B:B,Products!A:A," ")</f>
        <v xml:space="preserve"> </v>
      </c>
    </row>
    <row r="76" spans="1:13" x14ac:dyDescent="0.2">
      <c r="A76" t="s">
        <v>21</v>
      </c>
      <c r="B76">
        <v>121.13</v>
      </c>
      <c r="C76">
        <v>75</v>
      </c>
      <c r="D76" t="s">
        <v>20</v>
      </c>
      <c r="E76">
        <v>1</v>
      </c>
      <c r="F76" s="6">
        <v>45113</v>
      </c>
      <c r="G76" s="6" t="str">
        <f>_xlfn.XLOOKUP(K:K,Products!B:B,Products!E:E," ")</f>
        <v>Home</v>
      </c>
      <c r="H76" s="6" t="str">
        <f>_xlfn.XLOOKUP(Orders!K:K,Products!B:B,Products!F:F," ")</f>
        <v>Cleaning Model 1</v>
      </c>
      <c r="I76" s="6" t="str">
        <f>_xlfn.XLOOKUP(K:K,Products!B:B,Products!C:C," ")</f>
        <v>BrandD</v>
      </c>
      <c r="J76" s="8">
        <f>_xlfn.XLOOKUP(K:K,Products!B:B,Products!D:D," ")</f>
        <v>191.61</v>
      </c>
      <c r="K76">
        <v>11</v>
      </c>
      <c r="L76" t="s">
        <v>28</v>
      </c>
      <c r="M76" t="str">
        <f>_xlfn.XLOOKUP(K:K,Products!B:B,Products!A:A," ")</f>
        <v>Cleaning</v>
      </c>
    </row>
    <row r="77" spans="1:13" x14ac:dyDescent="0.2">
      <c r="A77" t="s">
        <v>16</v>
      </c>
      <c r="B77">
        <v>279.07</v>
      </c>
      <c r="C77">
        <v>76</v>
      </c>
      <c r="D77" t="s">
        <v>22</v>
      </c>
      <c r="E77">
        <v>26</v>
      </c>
      <c r="F77" s="6">
        <v>44929</v>
      </c>
      <c r="G77" s="6" t="str">
        <f>_xlfn.XLOOKUP(K:K,Products!B:B,Products!E:E," ")</f>
        <v>Electronics</v>
      </c>
      <c r="H77" s="6" t="str">
        <f>_xlfn.XLOOKUP(Orders!K:K,Products!B:B,Products!F:F," ")</f>
        <v>Laptop Model 2</v>
      </c>
      <c r="I77" s="6" t="str">
        <f>_xlfn.XLOOKUP(K:K,Products!B:B,Products!C:C," ")</f>
        <v>BrandB</v>
      </c>
      <c r="J77" s="8">
        <f>_xlfn.XLOOKUP(K:K,Products!B:B,Products!D:D," ")</f>
        <v>65.05</v>
      </c>
      <c r="K77">
        <v>4</v>
      </c>
      <c r="L77" t="s">
        <v>29</v>
      </c>
      <c r="M77" t="str">
        <f>_xlfn.XLOOKUP(K:K,Products!B:B,Products!A:A," ")</f>
        <v>Laptop</v>
      </c>
    </row>
    <row r="78" spans="1:13" x14ac:dyDescent="0.2">
      <c r="A78" t="s">
        <v>16</v>
      </c>
      <c r="B78">
        <v>99.03</v>
      </c>
      <c r="C78">
        <v>77</v>
      </c>
      <c r="D78" t="s">
        <v>20</v>
      </c>
      <c r="E78">
        <v>25</v>
      </c>
      <c r="F78" s="6">
        <v>44995</v>
      </c>
      <c r="G78" s="6" t="str">
        <f>_xlfn.XLOOKUP(K:K,Products!B:B,Products!E:E," ")</f>
        <v xml:space="preserve"> </v>
      </c>
      <c r="H78" s="6" t="str">
        <f>_xlfn.XLOOKUP(Orders!K:K,Products!B:B,Products!F:F," ")</f>
        <v xml:space="preserve"> </v>
      </c>
      <c r="I78" s="6" t="str">
        <f>_xlfn.XLOOKUP(K:K,Products!B:B,Products!C:C," ")</f>
        <v xml:space="preserve"> </v>
      </c>
      <c r="J78" s="8" t="str">
        <f>_xlfn.XLOOKUP(K:K,Products!B:B,Products!D:D," ")</f>
        <v xml:space="preserve"> </v>
      </c>
      <c r="K78">
        <v>27</v>
      </c>
      <c r="L78" t="s">
        <v>27</v>
      </c>
      <c r="M78" t="str">
        <f>_xlfn.XLOOKUP(K:K,Products!B:B,Products!A:A," ")</f>
        <v xml:space="preserve"> </v>
      </c>
    </row>
    <row r="79" spans="1:13" x14ac:dyDescent="0.2">
      <c r="A79" t="s">
        <v>25</v>
      </c>
      <c r="B79">
        <v>184.55</v>
      </c>
      <c r="C79">
        <v>78</v>
      </c>
      <c r="D79" t="s">
        <v>22</v>
      </c>
      <c r="E79">
        <v>16</v>
      </c>
      <c r="F79" s="6">
        <v>45025</v>
      </c>
      <c r="G79" s="6" t="str">
        <f>_xlfn.XLOOKUP(K:K,Products!B:B,Products!E:E," ")</f>
        <v xml:space="preserve"> </v>
      </c>
      <c r="H79" s="6" t="str">
        <f>_xlfn.XLOOKUP(Orders!K:K,Products!B:B,Products!F:F," ")</f>
        <v xml:space="preserve"> </v>
      </c>
      <c r="I79" s="6" t="str">
        <f>_xlfn.XLOOKUP(K:K,Products!B:B,Products!C:C," ")</f>
        <v xml:space="preserve"> </v>
      </c>
      <c r="J79" s="8" t="str">
        <f>_xlfn.XLOOKUP(K:K,Products!B:B,Products!D:D," ")</f>
        <v xml:space="preserve"> </v>
      </c>
      <c r="K79">
        <v>29</v>
      </c>
      <c r="L79" t="s">
        <v>27</v>
      </c>
      <c r="M79" t="str">
        <f>_xlfn.XLOOKUP(K:K,Products!B:B,Products!A:A," ")</f>
        <v xml:space="preserve"> </v>
      </c>
    </row>
    <row r="80" spans="1:13" x14ac:dyDescent="0.2">
      <c r="A80" t="s">
        <v>25</v>
      </c>
      <c r="B80">
        <v>425.78</v>
      </c>
      <c r="C80">
        <v>79</v>
      </c>
      <c r="D80" t="s">
        <v>20</v>
      </c>
      <c r="E80">
        <v>12</v>
      </c>
      <c r="F80" s="6">
        <v>45077</v>
      </c>
      <c r="G80" s="6" t="str">
        <f>_xlfn.XLOOKUP(K:K,Products!B:B,Products!E:E," ")</f>
        <v>Electronics</v>
      </c>
      <c r="H80" s="6" t="str">
        <f>_xlfn.XLOOKUP(Orders!K:K,Products!B:B,Products!F:F," ")</f>
        <v>Smartphone Model 2</v>
      </c>
      <c r="I80" s="6" t="str">
        <f>_xlfn.XLOOKUP(K:K,Products!B:B,Products!C:C," ")</f>
        <v>BrandB</v>
      </c>
      <c r="J80" s="8">
        <f>_xlfn.XLOOKUP(K:K,Products!B:B,Products!D:D," ")</f>
        <v>43.27</v>
      </c>
      <c r="K80">
        <v>2</v>
      </c>
      <c r="L80" t="s">
        <v>23</v>
      </c>
      <c r="M80" t="str">
        <f>_xlfn.XLOOKUP(K:K,Products!B:B,Products!A:A," ")</f>
        <v>Smartphone</v>
      </c>
    </row>
    <row r="81" spans="1:13" x14ac:dyDescent="0.2">
      <c r="A81" t="s">
        <v>16</v>
      </c>
      <c r="B81">
        <v>392.8</v>
      </c>
      <c r="C81">
        <v>80</v>
      </c>
      <c r="D81" t="s">
        <v>20</v>
      </c>
      <c r="E81">
        <v>21</v>
      </c>
      <c r="F81" s="6">
        <v>44993</v>
      </c>
      <c r="G81" s="6" t="str">
        <f>_xlfn.XLOOKUP(K:K,Products!B:B,Products!E:E," ")</f>
        <v>Office</v>
      </c>
      <c r="H81" s="6" t="str">
        <f>_xlfn.XLOOKUP(Orders!K:K,Products!B:B,Products!F:F," ")</f>
        <v>Printers Model 1</v>
      </c>
      <c r="I81" s="6" t="str">
        <f>_xlfn.XLOOKUP(K:K,Products!B:B,Products!C:C," ")</f>
        <v>BrandA</v>
      </c>
      <c r="J81" s="8">
        <f>_xlfn.XLOOKUP(K:K,Products!B:B,Products!D:D," ")</f>
        <v>36.47</v>
      </c>
      <c r="K81">
        <v>23</v>
      </c>
      <c r="L81" t="s">
        <v>23</v>
      </c>
      <c r="M81" t="str">
        <f>_xlfn.XLOOKUP(K:K,Products!B:B,Products!A:A," ")</f>
        <v>Printers</v>
      </c>
    </row>
    <row r="82" spans="1:13" x14ac:dyDescent="0.2">
      <c r="A82" t="s">
        <v>25</v>
      </c>
      <c r="B82">
        <v>200.14</v>
      </c>
      <c r="C82">
        <v>81</v>
      </c>
      <c r="D82" t="s">
        <v>24</v>
      </c>
      <c r="E82">
        <v>42</v>
      </c>
      <c r="F82" s="6">
        <v>44970</v>
      </c>
      <c r="G82" s="6" t="str">
        <f>_xlfn.XLOOKUP(K:K,Products!B:B,Products!E:E," ")</f>
        <v>Home</v>
      </c>
      <c r="H82" s="6" t="str">
        <f>_xlfn.XLOOKUP(Orders!K:K,Products!B:B,Products!F:F," ")</f>
        <v>Cleaning Model 1</v>
      </c>
      <c r="I82" s="6" t="str">
        <f>_xlfn.XLOOKUP(K:K,Products!B:B,Products!C:C," ")</f>
        <v>BrandD</v>
      </c>
      <c r="J82" s="8">
        <f>_xlfn.XLOOKUP(K:K,Products!B:B,Products!D:D," ")</f>
        <v>191.61</v>
      </c>
      <c r="K82">
        <v>11</v>
      </c>
      <c r="L82" t="s">
        <v>23</v>
      </c>
      <c r="M82" t="str">
        <f>_xlfn.XLOOKUP(K:K,Products!B:B,Products!A:A," ")</f>
        <v>Cleaning</v>
      </c>
    </row>
    <row r="83" spans="1:13" x14ac:dyDescent="0.2">
      <c r="A83" t="s">
        <v>19</v>
      </c>
      <c r="B83">
        <v>75.45</v>
      </c>
      <c r="C83">
        <v>82</v>
      </c>
      <c r="D83" t="s">
        <v>17</v>
      </c>
      <c r="E83">
        <v>45</v>
      </c>
      <c r="F83" s="6">
        <v>45190</v>
      </c>
      <c r="G83" s="6" t="str">
        <f>_xlfn.XLOOKUP(K:K,Products!B:B,Products!E:E," ")</f>
        <v>Office</v>
      </c>
      <c r="H83" s="6" t="str">
        <f>_xlfn.XLOOKUP(Orders!K:K,Products!B:B,Products!F:F," ")</f>
        <v>Office Furniture Model 1</v>
      </c>
      <c r="I83" s="6" t="str">
        <f>_xlfn.XLOOKUP(K:K,Products!B:B,Products!C:C," ")</f>
        <v>BrandC</v>
      </c>
      <c r="J83" s="8">
        <f>_xlfn.XLOOKUP(K:K,Products!B:B,Products!D:D," ")</f>
        <v>67.66</v>
      </c>
      <c r="K83">
        <v>21</v>
      </c>
      <c r="L83" t="s">
        <v>29</v>
      </c>
      <c r="M83" t="str">
        <f>_xlfn.XLOOKUP(K:K,Products!B:B,Products!A:A," ")</f>
        <v>Office Furniture</v>
      </c>
    </row>
    <row r="84" spans="1:13" x14ac:dyDescent="0.2">
      <c r="A84" t="s">
        <v>19</v>
      </c>
      <c r="B84">
        <v>238.59</v>
      </c>
      <c r="C84">
        <v>83</v>
      </c>
      <c r="D84" t="s">
        <v>24</v>
      </c>
      <c r="E84">
        <v>23</v>
      </c>
      <c r="F84" s="6">
        <v>45230</v>
      </c>
      <c r="G84" s="6" t="str">
        <f>_xlfn.XLOOKUP(K:K,Products!B:B,Products!E:E," ")</f>
        <v>Sports</v>
      </c>
      <c r="H84" s="6" t="str">
        <f>_xlfn.XLOOKUP(Orders!K:K,Products!B:B,Products!F:F," ")</f>
        <v>Clothing Model 2</v>
      </c>
      <c r="I84" s="6" t="str">
        <f>_xlfn.XLOOKUP(K:K,Products!B:B,Products!C:C," ")</f>
        <v>BrandB</v>
      </c>
      <c r="J84" s="8">
        <f>_xlfn.XLOOKUP(K:K,Products!B:B,Products!D:D," ")</f>
        <v>247.45</v>
      </c>
      <c r="K84">
        <v>18</v>
      </c>
      <c r="L84" t="s">
        <v>27</v>
      </c>
      <c r="M84" t="str">
        <f>_xlfn.XLOOKUP(K:K,Products!B:B,Products!A:A," ")</f>
        <v>Clothing</v>
      </c>
    </row>
    <row r="85" spans="1:13" x14ac:dyDescent="0.2">
      <c r="A85" t="s">
        <v>25</v>
      </c>
      <c r="B85">
        <v>71.28</v>
      </c>
      <c r="C85">
        <v>84</v>
      </c>
      <c r="D85" t="s">
        <v>24</v>
      </c>
      <c r="E85">
        <v>27</v>
      </c>
      <c r="F85" s="6">
        <v>45176</v>
      </c>
      <c r="G85" s="6" t="str">
        <f>_xlfn.XLOOKUP(K:K,Products!B:B,Products!E:E," ")</f>
        <v>Office</v>
      </c>
      <c r="H85" s="6" t="str">
        <f>_xlfn.XLOOKUP(Orders!K:K,Products!B:B,Products!F:F," ")</f>
        <v>Office Furniture Model 1</v>
      </c>
      <c r="I85" s="6" t="str">
        <f>_xlfn.XLOOKUP(K:K,Products!B:B,Products!C:C," ")</f>
        <v>BrandC</v>
      </c>
      <c r="J85" s="8">
        <f>_xlfn.XLOOKUP(K:K,Products!B:B,Products!D:D," ")</f>
        <v>67.66</v>
      </c>
      <c r="K85">
        <v>21</v>
      </c>
      <c r="L85" t="s">
        <v>18</v>
      </c>
      <c r="M85" t="str">
        <f>_xlfn.XLOOKUP(K:K,Products!B:B,Products!A:A," ")</f>
        <v>Office Furniture</v>
      </c>
    </row>
    <row r="86" spans="1:13" x14ac:dyDescent="0.2">
      <c r="A86" t="s">
        <v>25</v>
      </c>
      <c r="B86">
        <v>205.4</v>
      </c>
      <c r="C86">
        <v>85</v>
      </c>
      <c r="D86" t="s">
        <v>20</v>
      </c>
      <c r="E86">
        <v>48</v>
      </c>
      <c r="F86" s="6">
        <v>45075</v>
      </c>
      <c r="G86" s="6" t="str">
        <f>_xlfn.XLOOKUP(K:K,Products!B:B,Products!E:E," ")</f>
        <v>Electronics</v>
      </c>
      <c r="H86" s="6" t="str">
        <f>_xlfn.XLOOKUP(Orders!K:K,Products!B:B,Products!F:F," ")</f>
        <v>Smartphone Model 1</v>
      </c>
      <c r="I86" s="6" t="str">
        <f>_xlfn.XLOOKUP(K:K,Products!B:B,Products!C:C," ")</f>
        <v>BrandC</v>
      </c>
      <c r="J86" s="8">
        <f>_xlfn.XLOOKUP(K:K,Products!B:B,Products!D:D," ")</f>
        <v>285.64999999999998</v>
      </c>
      <c r="K86">
        <v>1</v>
      </c>
      <c r="L86" t="s">
        <v>26</v>
      </c>
      <c r="M86" t="str">
        <f>_xlfn.XLOOKUP(K:K,Products!B:B,Products!A:A," ")</f>
        <v>Smartphone</v>
      </c>
    </row>
    <row r="87" spans="1:13" x14ac:dyDescent="0.2">
      <c r="A87" t="s">
        <v>25</v>
      </c>
      <c r="B87">
        <v>262.58</v>
      </c>
      <c r="C87">
        <v>86</v>
      </c>
      <c r="D87" t="s">
        <v>17</v>
      </c>
      <c r="E87">
        <v>18</v>
      </c>
      <c r="F87" s="6">
        <v>44935</v>
      </c>
      <c r="G87" s="6" t="str">
        <f>_xlfn.XLOOKUP(K:K,Products!B:B,Products!E:E," ")</f>
        <v>Electronics</v>
      </c>
      <c r="H87" s="6" t="str">
        <f>_xlfn.XLOOKUP(Orders!K:K,Products!B:B,Products!F:F," ")</f>
        <v>Tablet Model 2</v>
      </c>
      <c r="I87" s="6" t="str">
        <f>_xlfn.XLOOKUP(K:K,Products!B:B,Products!C:C," ")</f>
        <v>BrandB</v>
      </c>
      <c r="J87" s="8">
        <f>_xlfn.XLOOKUP(K:K,Products!B:B,Products!D:D," ")</f>
        <v>184.01</v>
      </c>
      <c r="K87">
        <v>6</v>
      </c>
      <c r="L87" t="s">
        <v>27</v>
      </c>
      <c r="M87" t="str">
        <f>_xlfn.XLOOKUP(K:K,Products!B:B,Products!A:A," ")</f>
        <v>Tablet</v>
      </c>
    </row>
    <row r="88" spans="1:13" x14ac:dyDescent="0.2">
      <c r="A88" t="s">
        <v>25</v>
      </c>
      <c r="B88">
        <v>367.84</v>
      </c>
      <c r="C88">
        <v>87</v>
      </c>
      <c r="D88" t="s">
        <v>22</v>
      </c>
      <c r="E88">
        <v>40</v>
      </c>
      <c r="F88" s="6">
        <v>45025</v>
      </c>
      <c r="G88" s="6" t="str">
        <f>_xlfn.XLOOKUP(K:K,Products!B:B,Products!E:E," ")</f>
        <v>Sports</v>
      </c>
      <c r="H88" s="6" t="str">
        <f>_xlfn.XLOOKUP(Orders!K:K,Products!B:B,Products!F:F," ")</f>
        <v>Outdoor Model 2</v>
      </c>
      <c r="I88" s="6" t="str">
        <f>_xlfn.XLOOKUP(K:K,Products!B:B,Products!C:C," ")</f>
        <v>BrandA</v>
      </c>
      <c r="J88" s="8">
        <f>_xlfn.XLOOKUP(K:K,Products!B:B,Products!D:D," ")</f>
        <v>21.27</v>
      </c>
      <c r="K88">
        <v>16</v>
      </c>
      <c r="L88" t="s">
        <v>18</v>
      </c>
      <c r="M88" t="str">
        <f>_xlfn.XLOOKUP(K:K,Products!B:B,Products!A:A," ")</f>
        <v>Outdoor</v>
      </c>
    </row>
    <row r="89" spans="1:13" x14ac:dyDescent="0.2">
      <c r="A89" t="s">
        <v>19</v>
      </c>
      <c r="B89">
        <v>110.47</v>
      </c>
      <c r="C89">
        <v>88</v>
      </c>
      <c r="D89" t="s">
        <v>24</v>
      </c>
      <c r="E89">
        <v>12</v>
      </c>
      <c r="F89" s="6">
        <v>45016</v>
      </c>
      <c r="G89" s="6" t="str">
        <f>_xlfn.XLOOKUP(K:K,Products!B:B,Products!E:E," ")</f>
        <v>Office</v>
      </c>
      <c r="H89" s="6" t="str">
        <f>_xlfn.XLOOKUP(Orders!K:K,Products!B:B,Products!F:F," ")</f>
        <v>Stationery Model 2</v>
      </c>
      <c r="I89" s="6" t="str">
        <f>_xlfn.XLOOKUP(K:K,Products!B:B,Products!C:C," ")</f>
        <v>BrandC</v>
      </c>
      <c r="J89" s="8">
        <f>_xlfn.XLOOKUP(K:K,Products!B:B,Products!D:D," ")</f>
        <v>170.2</v>
      </c>
      <c r="K89">
        <v>20</v>
      </c>
      <c r="L89" t="s">
        <v>28</v>
      </c>
      <c r="M89" t="str">
        <f>_xlfn.XLOOKUP(K:K,Products!B:B,Products!A:A," ")</f>
        <v>Stationery</v>
      </c>
    </row>
    <row r="90" spans="1:13" x14ac:dyDescent="0.2">
      <c r="A90" t="s">
        <v>16</v>
      </c>
      <c r="B90">
        <v>279.67</v>
      </c>
      <c r="C90">
        <v>89</v>
      </c>
      <c r="D90" t="s">
        <v>24</v>
      </c>
      <c r="E90">
        <v>35</v>
      </c>
      <c r="F90" s="6">
        <v>45112</v>
      </c>
      <c r="G90" s="6" t="str">
        <f>_xlfn.XLOOKUP(K:K,Products!B:B,Products!E:E," ")</f>
        <v>Office</v>
      </c>
      <c r="H90" s="6" t="str">
        <f>_xlfn.XLOOKUP(Orders!K:K,Products!B:B,Products!F:F," ")</f>
        <v>Office Furniture Model 2</v>
      </c>
      <c r="I90" s="6" t="str">
        <f>_xlfn.XLOOKUP(K:K,Products!B:B,Products!C:C," ")</f>
        <v>BrandA</v>
      </c>
      <c r="J90" s="8">
        <f>_xlfn.XLOOKUP(K:K,Products!B:B,Products!D:D," ")</f>
        <v>59.72</v>
      </c>
      <c r="K90">
        <v>22</v>
      </c>
      <c r="L90" t="s">
        <v>27</v>
      </c>
      <c r="M90" t="str">
        <f>_xlfn.XLOOKUP(K:K,Products!B:B,Products!A:A," ")</f>
        <v>Office Furniture</v>
      </c>
    </row>
    <row r="91" spans="1:13" x14ac:dyDescent="0.2">
      <c r="A91" t="s">
        <v>16</v>
      </c>
      <c r="B91">
        <v>455.01</v>
      </c>
      <c r="C91">
        <v>90</v>
      </c>
      <c r="D91" t="s">
        <v>22</v>
      </c>
      <c r="E91">
        <v>34</v>
      </c>
      <c r="F91" s="6">
        <v>44971</v>
      </c>
      <c r="G91" s="6" t="str">
        <f>_xlfn.XLOOKUP(K:K,Products!B:B,Products!E:E," ")</f>
        <v>Office</v>
      </c>
      <c r="H91" s="6" t="str">
        <f>_xlfn.XLOOKUP(Orders!K:K,Products!B:B,Products!F:F," ")</f>
        <v>Printers Model 1</v>
      </c>
      <c r="I91" s="6" t="str">
        <f>_xlfn.XLOOKUP(K:K,Products!B:B,Products!C:C," ")</f>
        <v>BrandA</v>
      </c>
      <c r="J91" s="8">
        <f>_xlfn.XLOOKUP(K:K,Products!B:B,Products!D:D," ")</f>
        <v>36.47</v>
      </c>
      <c r="K91">
        <v>23</v>
      </c>
      <c r="L91" t="s">
        <v>28</v>
      </c>
      <c r="M91" t="str">
        <f>_xlfn.XLOOKUP(K:K,Products!B:B,Products!A:A," ")</f>
        <v>Printers</v>
      </c>
    </row>
    <row r="92" spans="1:13" x14ac:dyDescent="0.2">
      <c r="A92" t="s">
        <v>25</v>
      </c>
      <c r="B92">
        <v>385.49</v>
      </c>
      <c r="C92">
        <v>91</v>
      </c>
      <c r="D92" t="s">
        <v>17</v>
      </c>
      <c r="E92">
        <v>1</v>
      </c>
      <c r="F92" s="6">
        <v>45004</v>
      </c>
      <c r="G92" s="6" t="str">
        <f>_xlfn.XLOOKUP(K:K,Products!B:B,Products!E:E," ")</f>
        <v>Office</v>
      </c>
      <c r="H92" s="6" t="str">
        <f>_xlfn.XLOOKUP(Orders!K:K,Products!B:B,Products!F:F," ")</f>
        <v>Printers Model 2</v>
      </c>
      <c r="I92" s="6" t="str">
        <f>_xlfn.XLOOKUP(K:K,Products!B:B,Products!C:C," ")</f>
        <v>BrandA</v>
      </c>
      <c r="J92" s="8">
        <f>_xlfn.XLOOKUP(K:K,Products!B:B,Products!D:D," ")</f>
        <v>272.52</v>
      </c>
      <c r="K92">
        <v>24</v>
      </c>
      <c r="L92" t="s">
        <v>29</v>
      </c>
      <c r="M92" t="str">
        <f>_xlfn.XLOOKUP(K:K,Products!B:B,Products!A:A," ")</f>
        <v>Printers</v>
      </c>
    </row>
    <row r="93" spans="1:13" x14ac:dyDescent="0.2">
      <c r="A93" t="s">
        <v>25</v>
      </c>
      <c r="B93">
        <v>403.54</v>
      </c>
      <c r="C93">
        <v>92</v>
      </c>
      <c r="D93" t="s">
        <v>24</v>
      </c>
      <c r="E93">
        <v>42</v>
      </c>
      <c r="F93" s="6">
        <v>45168</v>
      </c>
      <c r="G93" s="6" t="str">
        <f>_xlfn.XLOOKUP(K:K,Products!B:B,Products!E:E," ")</f>
        <v>Office</v>
      </c>
      <c r="H93" s="6" t="str">
        <f>_xlfn.XLOOKUP(Orders!K:K,Products!B:B,Products!F:F," ")</f>
        <v>Stationery Model 1</v>
      </c>
      <c r="I93" s="6" t="str">
        <f>_xlfn.XLOOKUP(K:K,Products!B:B,Products!C:C," ")</f>
        <v>BrandB</v>
      </c>
      <c r="J93" s="8">
        <f>_xlfn.XLOOKUP(K:K,Products!B:B,Products!D:D," ")</f>
        <v>73</v>
      </c>
      <c r="K93">
        <v>19</v>
      </c>
      <c r="L93" t="s">
        <v>26</v>
      </c>
      <c r="M93" t="str">
        <f>_xlfn.XLOOKUP(K:K,Products!B:B,Products!A:A," ")</f>
        <v>Stationery</v>
      </c>
    </row>
    <row r="94" spans="1:13" x14ac:dyDescent="0.2">
      <c r="A94" t="s">
        <v>16</v>
      </c>
      <c r="B94">
        <v>62.82</v>
      </c>
      <c r="C94">
        <v>93</v>
      </c>
      <c r="D94" t="s">
        <v>24</v>
      </c>
      <c r="E94">
        <v>4</v>
      </c>
      <c r="F94" s="6">
        <v>44959</v>
      </c>
      <c r="G94" s="6" t="str">
        <f>_xlfn.XLOOKUP(K:K,Products!B:B,Products!E:E," ")</f>
        <v>Office</v>
      </c>
      <c r="H94" s="6" t="str">
        <f>_xlfn.XLOOKUP(Orders!K:K,Products!B:B,Products!F:F," ")</f>
        <v>Printers Model 1</v>
      </c>
      <c r="I94" s="6" t="str">
        <f>_xlfn.XLOOKUP(K:K,Products!B:B,Products!C:C," ")</f>
        <v>BrandA</v>
      </c>
      <c r="J94" s="8">
        <f>_xlfn.XLOOKUP(K:K,Products!B:B,Products!D:D," ")</f>
        <v>36.47</v>
      </c>
      <c r="K94">
        <v>23</v>
      </c>
      <c r="L94" t="s">
        <v>29</v>
      </c>
      <c r="M94" t="str">
        <f>_xlfn.XLOOKUP(K:K,Products!B:B,Products!A:A," ")</f>
        <v>Printers</v>
      </c>
    </row>
    <row r="95" spans="1:13" x14ac:dyDescent="0.2">
      <c r="A95" t="s">
        <v>21</v>
      </c>
      <c r="B95">
        <v>38.51</v>
      </c>
      <c r="C95">
        <v>94</v>
      </c>
      <c r="D95" t="s">
        <v>24</v>
      </c>
      <c r="E95">
        <v>9</v>
      </c>
      <c r="F95" s="6">
        <v>44995</v>
      </c>
      <c r="G95" s="6" t="str">
        <f>_xlfn.XLOOKUP(K:K,Products!B:B,Products!E:E," ")</f>
        <v>Home</v>
      </c>
      <c r="H95" s="6" t="str">
        <f>_xlfn.XLOOKUP(Orders!K:K,Products!B:B,Products!F:F," ")</f>
        <v>Cleaning Model 2</v>
      </c>
      <c r="I95" s="6" t="str">
        <f>_xlfn.XLOOKUP(K:K,Products!B:B,Products!C:C," ")</f>
        <v>BrandB</v>
      </c>
      <c r="J95" s="8">
        <f>_xlfn.XLOOKUP(K:K,Products!B:B,Products!D:D," ")</f>
        <v>209.52</v>
      </c>
      <c r="K95">
        <v>12</v>
      </c>
      <c r="L95" t="s">
        <v>23</v>
      </c>
      <c r="M95" t="str">
        <f>_xlfn.XLOOKUP(K:K,Products!B:B,Products!A:A," ")</f>
        <v>Cleaning</v>
      </c>
    </row>
    <row r="96" spans="1:13" x14ac:dyDescent="0.2">
      <c r="A96" t="s">
        <v>19</v>
      </c>
      <c r="B96">
        <v>493.98</v>
      </c>
      <c r="C96">
        <v>95</v>
      </c>
      <c r="D96" t="s">
        <v>24</v>
      </c>
      <c r="E96">
        <v>5</v>
      </c>
      <c r="F96" s="6">
        <v>45040</v>
      </c>
      <c r="G96" s="6" t="str">
        <f>_xlfn.XLOOKUP(K:K,Products!B:B,Products!E:E," ")</f>
        <v xml:space="preserve"> </v>
      </c>
      <c r="H96" s="6" t="str">
        <f>_xlfn.XLOOKUP(Orders!K:K,Products!B:B,Products!F:F," ")</f>
        <v xml:space="preserve"> </v>
      </c>
      <c r="I96" s="6" t="str">
        <f>_xlfn.XLOOKUP(K:K,Products!B:B,Products!C:C," ")</f>
        <v xml:space="preserve"> </v>
      </c>
      <c r="J96" s="8" t="str">
        <f>_xlfn.XLOOKUP(K:K,Products!B:B,Products!D:D," ")</f>
        <v xml:space="preserve"> </v>
      </c>
      <c r="K96">
        <v>28</v>
      </c>
      <c r="L96" t="s">
        <v>18</v>
      </c>
      <c r="M96" t="str">
        <f>_xlfn.XLOOKUP(K:K,Products!B:B,Products!A:A," ")</f>
        <v xml:space="preserve"> </v>
      </c>
    </row>
    <row r="97" spans="1:13" x14ac:dyDescent="0.2">
      <c r="A97" t="s">
        <v>21</v>
      </c>
      <c r="B97">
        <v>101.26</v>
      </c>
      <c r="C97">
        <v>96</v>
      </c>
      <c r="D97" t="s">
        <v>24</v>
      </c>
      <c r="E97">
        <v>18</v>
      </c>
      <c r="F97" s="6">
        <v>45060</v>
      </c>
      <c r="G97" s="6" t="str">
        <f>_xlfn.XLOOKUP(K:K,Products!B:B,Products!E:E," ")</f>
        <v>Electronics</v>
      </c>
      <c r="H97" s="6" t="str">
        <f>_xlfn.XLOOKUP(Orders!K:K,Products!B:B,Products!F:F," ")</f>
        <v>Tablet Model 1</v>
      </c>
      <c r="I97" s="6" t="str">
        <f>_xlfn.XLOOKUP(K:K,Products!B:B,Products!C:C," ")</f>
        <v>BrandD</v>
      </c>
      <c r="J97" s="8">
        <f>_xlfn.XLOOKUP(K:K,Products!B:B,Products!D:D," ")</f>
        <v>55.43</v>
      </c>
      <c r="K97">
        <v>5</v>
      </c>
      <c r="L97" t="s">
        <v>23</v>
      </c>
      <c r="M97" t="str">
        <f>_xlfn.XLOOKUP(K:K,Products!B:B,Products!A:A," ")</f>
        <v>Tablet</v>
      </c>
    </row>
    <row r="98" spans="1:13" x14ac:dyDescent="0.2">
      <c r="A98" t="s">
        <v>25</v>
      </c>
      <c r="B98">
        <v>190.58</v>
      </c>
      <c r="C98">
        <v>97</v>
      </c>
      <c r="D98" t="s">
        <v>22</v>
      </c>
      <c r="E98">
        <v>1</v>
      </c>
      <c r="F98" s="6">
        <v>45076</v>
      </c>
      <c r="G98" s="6" t="str">
        <f>_xlfn.XLOOKUP(K:K,Products!B:B,Products!E:E," ")</f>
        <v>Electronics</v>
      </c>
      <c r="H98" s="6" t="str">
        <f>_xlfn.XLOOKUP(Orders!K:K,Products!B:B,Products!F:F," ")</f>
        <v>Laptop Model 2</v>
      </c>
      <c r="I98" s="6" t="str">
        <f>_xlfn.XLOOKUP(K:K,Products!B:B,Products!C:C," ")</f>
        <v>BrandB</v>
      </c>
      <c r="J98" s="8">
        <f>_xlfn.XLOOKUP(K:K,Products!B:B,Products!D:D," ")</f>
        <v>65.05</v>
      </c>
      <c r="K98">
        <v>4</v>
      </c>
      <c r="L98" t="s">
        <v>18</v>
      </c>
      <c r="M98" t="str">
        <f>_xlfn.XLOOKUP(K:K,Products!B:B,Products!A:A," ")</f>
        <v>Laptop</v>
      </c>
    </row>
    <row r="99" spans="1:13" x14ac:dyDescent="0.2">
      <c r="A99" t="s">
        <v>19</v>
      </c>
      <c r="B99">
        <v>280.18</v>
      </c>
      <c r="C99">
        <v>98</v>
      </c>
      <c r="D99" t="s">
        <v>17</v>
      </c>
      <c r="E99">
        <v>27</v>
      </c>
      <c r="F99" s="6">
        <v>45083</v>
      </c>
      <c r="G99" s="6" t="str">
        <f>_xlfn.XLOOKUP(K:K,Products!B:B,Products!E:E," ")</f>
        <v>Electronics</v>
      </c>
      <c r="H99" s="6" t="str">
        <f>_xlfn.XLOOKUP(Orders!K:K,Products!B:B,Products!F:F," ")</f>
        <v>Laptop Model 2</v>
      </c>
      <c r="I99" s="6" t="str">
        <f>_xlfn.XLOOKUP(K:K,Products!B:B,Products!C:C," ")</f>
        <v>BrandB</v>
      </c>
      <c r="J99" s="8">
        <f>_xlfn.XLOOKUP(K:K,Products!B:B,Products!D:D," ")</f>
        <v>65.05</v>
      </c>
      <c r="K99">
        <v>4</v>
      </c>
      <c r="L99" t="s">
        <v>23</v>
      </c>
      <c r="M99" t="str">
        <f>_xlfn.XLOOKUP(K:K,Products!B:B,Products!A:A," ")</f>
        <v>Laptop</v>
      </c>
    </row>
    <row r="100" spans="1:13" x14ac:dyDescent="0.2">
      <c r="A100" t="s">
        <v>21</v>
      </c>
      <c r="B100">
        <v>219.42</v>
      </c>
      <c r="C100">
        <v>99</v>
      </c>
      <c r="D100" t="s">
        <v>20</v>
      </c>
      <c r="E100">
        <v>45</v>
      </c>
      <c r="F100" s="6">
        <v>45109</v>
      </c>
      <c r="G100" s="6" t="str">
        <f>_xlfn.XLOOKUP(K:K,Products!B:B,Products!E:E," ")</f>
        <v>Home</v>
      </c>
      <c r="H100" s="6" t="str">
        <f>_xlfn.XLOOKUP(Orders!K:K,Products!B:B,Products!F:F," ")</f>
        <v>Kitchen Model 2</v>
      </c>
      <c r="I100" s="6" t="str">
        <f>_xlfn.XLOOKUP(K:K,Products!B:B,Products!C:C," ")</f>
        <v>BrandC</v>
      </c>
      <c r="J100" s="8">
        <f>_xlfn.XLOOKUP(K:K,Products!B:B,Products!D:D," ")</f>
        <v>163.13999999999999</v>
      </c>
      <c r="K100">
        <v>8</v>
      </c>
      <c r="L100" t="s">
        <v>27</v>
      </c>
      <c r="M100" t="str">
        <f>_xlfn.XLOOKUP(K:K,Products!B:B,Products!A:A," ")</f>
        <v>Kitchen</v>
      </c>
    </row>
    <row r="101" spans="1:13" x14ac:dyDescent="0.2">
      <c r="A101" t="s">
        <v>19</v>
      </c>
      <c r="B101">
        <v>446.5</v>
      </c>
      <c r="C101">
        <v>100</v>
      </c>
      <c r="D101" t="s">
        <v>24</v>
      </c>
      <c r="E101">
        <v>25</v>
      </c>
      <c r="F101" s="6">
        <v>45200</v>
      </c>
      <c r="G101" s="6" t="str">
        <f>_xlfn.XLOOKUP(K:K,Products!B:B,Products!E:E," ")</f>
        <v>Electronics</v>
      </c>
      <c r="H101" s="6" t="str">
        <f>_xlfn.XLOOKUP(Orders!K:K,Products!B:B,Products!F:F," ")</f>
        <v>Tablet Model 1</v>
      </c>
      <c r="I101" s="6" t="str">
        <f>_xlfn.XLOOKUP(K:K,Products!B:B,Products!C:C," ")</f>
        <v>BrandD</v>
      </c>
      <c r="J101" s="8">
        <f>_xlfn.XLOOKUP(K:K,Products!B:B,Products!D:D," ")</f>
        <v>55.43</v>
      </c>
      <c r="K101">
        <v>5</v>
      </c>
      <c r="L101" t="s">
        <v>26</v>
      </c>
      <c r="M101" t="str">
        <f>_xlfn.XLOOKUP(K:K,Products!B:B,Products!A:A," ")</f>
        <v>Tablet</v>
      </c>
    </row>
    <row r="102" spans="1:13" x14ac:dyDescent="0.2">
      <c r="A102" t="s">
        <v>25</v>
      </c>
      <c r="B102">
        <v>267.14999999999998</v>
      </c>
      <c r="C102">
        <v>101</v>
      </c>
      <c r="D102" t="s">
        <v>17</v>
      </c>
      <c r="E102">
        <v>48</v>
      </c>
      <c r="F102" s="6">
        <v>45244</v>
      </c>
      <c r="G102" s="6" t="str">
        <f>_xlfn.XLOOKUP(K:K,Products!B:B,Products!E:E," ")</f>
        <v>Electronics</v>
      </c>
      <c r="H102" s="6" t="str">
        <f>_xlfn.XLOOKUP(Orders!K:K,Products!B:B,Products!F:F," ")</f>
        <v>Laptop Model 2</v>
      </c>
      <c r="I102" s="6" t="str">
        <f>_xlfn.XLOOKUP(K:K,Products!B:B,Products!C:C," ")</f>
        <v>BrandB</v>
      </c>
      <c r="J102" s="8">
        <f>_xlfn.XLOOKUP(K:K,Products!B:B,Products!D:D," ")</f>
        <v>65.05</v>
      </c>
      <c r="K102">
        <v>4</v>
      </c>
      <c r="L102" t="s">
        <v>23</v>
      </c>
      <c r="M102" t="str">
        <f>_xlfn.XLOOKUP(K:K,Products!B:B,Products!A:A," ")</f>
        <v>Laptop</v>
      </c>
    </row>
    <row r="103" spans="1:13" x14ac:dyDescent="0.2">
      <c r="A103" t="s">
        <v>16</v>
      </c>
      <c r="B103">
        <v>299.27999999999997</v>
      </c>
      <c r="C103">
        <v>102</v>
      </c>
      <c r="D103" t="s">
        <v>22</v>
      </c>
      <c r="E103">
        <v>44</v>
      </c>
      <c r="F103" s="6">
        <v>45263</v>
      </c>
      <c r="G103" s="6" t="str">
        <f>_xlfn.XLOOKUP(K:K,Products!B:B,Products!E:E," ")</f>
        <v>Office</v>
      </c>
      <c r="H103" s="6" t="str">
        <f>_xlfn.XLOOKUP(Orders!K:K,Products!B:B,Products!F:F," ")</f>
        <v>Office Furniture Model 1</v>
      </c>
      <c r="I103" s="6" t="str">
        <f>_xlfn.XLOOKUP(K:K,Products!B:B,Products!C:C," ")</f>
        <v>BrandC</v>
      </c>
      <c r="J103" s="8">
        <f>_xlfn.XLOOKUP(K:K,Products!B:B,Products!D:D," ")</f>
        <v>67.66</v>
      </c>
      <c r="K103">
        <v>21</v>
      </c>
      <c r="L103" t="s">
        <v>29</v>
      </c>
      <c r="M103" t="str">
        <f>_xlfn.XLOOKUP(K:K,Products!B:B,Products!A:A," ")</f>
        <v>Office Furniture</v>
      </c>
    </row>
    <row r="104" spans="1:13" x14ac:dyDescent="0.2">
      <c r="A104" t="s">
        <v>25</v>
      </c>
      <c r="B104">
        <v>6.98</v>
      </c>
      <c r="C104">
        <v>103</v>
      </c>
      <c r="D104" t="s">
        <v>24</v>
      </c>
      <c r="E104">
        <v>27</v>
      </c>
      <c r="F104" s="6">
        <v>44963</v>
      </c>
      <c r="G104" s="6" t="str">
        <f>_xlfn.XLOOKUP(K:K,Products!B:B,Products!E:E," ")</f>
        <v>Home</v>
      </c>
      <c r="H104" s="6" t="str">
        <f>_xlfn.XLOOKUP(Orders!K:K,Products!B:B,Products!F:F," ")</f>
        <v>Kitchen Model 1</v>
      </c>
      <c r="I104" s="6" t="str">
        <f>_xlfn.XLOOKUP(K:K,Products!B:B,Products!C:C," ")</f>
        <v>BrandB</v>
      </c>
      <c r="J104" s="8">
        <f>_xlfn.XLOOKUP(K:K,Products!B:B,Products!D:D," ")</f>
        <v>27.76</v>
      </c>
      <c r="K104">
        <v>7</v>
      </c>
      <c r="L104" t="s">
        <v>28</v>
      </c>
      <c r="M104" t="str">
        <f>_xlfn.XLOOKUP(K:K,Products!B:B,Products!A:A," ")</f>
        <v>Kitchen</v>
      </c>
    </row>
    <row r="105" spans="1:13" x14ac:dyDescent="0.2">
      <c r="A105" t="s">
        <v>25</v>
      </c>
      <c r="B105">
        <v>450.62</v>
      </c>
      <c r="C105">
        <v>104</v>
      </c>
      <c r="D105" t="s">
        <v>24</v>
      </c>
      <c r="E105">
        <v>33</v>
      </c>
      <c r="F105" s="6">
        <v>45001</v>
      </c>
      <c r="G105" s="6" t="str">
        <f>_xlfn.XLOOKUP(K:K,Products!B:B,Products!E:E," ")</f>
        <v>Office</v>
      </c>
      <c r="H105" s="6" t="str">
        <f>_xlfn.XLOOKUP(Orders!K:K,Products!B:B,Products!F:F," ")</f>
        <v>Office Furniture Model 2</v>
      </c>
      <c r="I105" s="6" t="str">
        <f>_xlfn.XLOOKUP(K:K,Products!B:B,Products!C:C," ")</f>
        <v>BrandA</v>
      </c>
      <c r="J105" s="8">
        <f>_xlfn.XLOOKUP(K:K,Products!B:B,Products!D:D," ")</f>
        <v>59.72</v>
      </c>
      <c r="K105">
        <v>22</v>
      </c>
      <c r="L105" t="s">
        <v>28</v>
      </c>
      <c r="M105" t="str">
        <f>_xlfn.XLOOKUP(K:K,Products!B:B,Products!A:A," ")</f>
        <v>Office Furniture</v>
      </c>
    </row>
    <row r="106" spans="1:13" x14ac:dyDescent="0.2">
      <c r="A106" t="s">
        <v>16</v>
      </c>
      <c r="B106">
        <v>446.41</v>
      </c>
      <c r="C106">
        <v>105</v>
      </c>
      <c r="D106" t="s">
        <v>17</v>
      </c>
      <c r="E106">
        <v>37</v>
      </c>
      <c r="F106" s="6">
        <v>45263</v>
      </c>
      <c r="G106" s="6" t="str">
        <f>_xlfn.XLOOKUP(K:K,Products!B:B,Products!E:E," ")</f>
        <v>Electronics</v>
      </c>
      <c r="H106" s="6" t="str">
        <f>_xlfn.XLOOKUP(Orders!K:K,Products!B:B,Products!F:F," ")</f>
        <v>Smartphone Model 1</v>
      </c>
      <c r="I106" s="6" t="str">
        <f>_xlfn.XLOOKUP(K:K,Products!B:B,Products!C:C," ")</f>
        <v>BrandC</v>
      </c>
      <c r="J106" s="8">
        <f>_xlfn.XLOOKUP(K:K,Products!B:B,Products!D:D," ")</f>
        <v>285.64999999999998</v>
      </c>
      <c r="K106">
        <v>1</v>
      </c>
      <c r="L106" t="s">
        <v>27</v>
      </c>
      <c r="M106" t="str">
        <f>_xlfn.XLOOKUP(K:K,Products!B:B,Products!A:A," ")</f>
        <v>Smartphone</v>
      </c>
    </row>
    <row r="107" spans="1:13" x14ac:dyDescent="0.2">
      <c r="A107" t="s">
        <v>21</v>
      </c>
      <c r="B107">
        <v>323.91000000000003</v>
      </c>
      <c r="C107">
        <v>106</v>
      </c>
      <c r="D107" t="s">
        <v>17</v>
      </c>
      <c r="E107">
        <v>35</v>
      </c>
      <c r="F107" s="6">
        <v>45186</v>
      </c>
      <c r="G107" s="6" t="str">
        <f>_xlfn.XLOOKUP(K:K,Products!B:B,Products!E:E," ")</f>
        <v>Electronics</v>
      </c>
      <c r="H107" s="6" t="str">
        <f>_xlfn.XLOOKUP(Orders!K:K,Products!B:B,Products!F:F," ")</f>
        <v>Laptop Model 2</v>
      </c>
      <c r="I107" s="6" t="str">
        <f>_xlfn.XLOOKUP(K:K,Products!B:B,Products!C:C," ")</f>
        <v>BrandB</v>
      </c>
      <c r="J107" s="8">
        <f>_xlfn.XLOOKUP(K:K,Products!B:B,Products!D:D," ")</f>
        <v>65.05</v>
      </c>
      <c r="K107">
        <v>4</v>
      </c>
      <c r="L107" t="s">
        <v>23</v>
      </c>
      <c r="M107" t="str">
        <f>_xlfn.XLOOKUP(K:K,Products!B:B,Products!A:A," ")</f>
        <v>Laptop</v>
      </c>
    </row>
    <row r="108" spans="1:13" x14ac:dyDescent="0.2">
      <c r="A108" t="s">
        <v>21</v>
      </c>
      <c r="B108">
        <v>358.87</v>
      </c>
      <c r="C108">
        <v>107</v>
      </c>
      <c r="D108" t="s">
        <v>20</v>
      </c>
      <c r="E108">
        <v>27</v>
      </c>
      <c r="F108" s="6">
        <v>45240</v>
      </c>
      <c r="G108" s="6" t="str">
        <f>_xlfn.XLOOKUP(K:K,Products!B:B,Products!E:E," ")</f>
        <v>Office</v>
      </c>
      <c r="H108" s="6" t="str">
        <f>_xlfn.XLOOKUP(Orders!K:K,Products!B:B,Products!F:F," ")</f>
        <v>Office Furniture Model 1</v>
      </c>
      <c r="I108" s="6" t="str">
        <f>_xlfn.XLOOKUP(K:K,Products!B:B,Products!C:C," ")</f>
        <v>BrandC</v>
      </c>
      <c r="J108" s="8">
        <f>_xlfn.XLOOKUP(K:K,Products!B:B,Products!D:D," ")</f>
        <v>67.66</v>
      </c>
      <c r="K108">
        <v>21</v>
      </c>
      <c r="L108" t="s">
        <v>27</v>
      </c>
      <c r="M108" t="str">
        <f>_xlfn.XLOOKUP(K:K,Products!B:B,Products!A:A," ")</f>
        <v>Office Furniture</v>
      </c>
    </row>
    <row r="109" spans="1:13" x14ac:dyDescent="0.2">
      <c r="A109" t="s">
        <v>16</v>
      </c>
      <c r="B109">
        <v>342.09</v>
      </c>
      <c r="C109">
        <v>108</v>
      </c>
      <c r="D109" t="s">
        <v>22</v>
      </c>
      <c r="E109">
        <v>31</v>
      </c>
      <c r="F109" s="6">
        <v>45081</v>
      </c>
      <c r="G109" s="6" t="str">
        <f>_xlfn.XLOOKUP(K:K,Products!B:B,Products!E:E," ")</f>
        <v xml:space="preserve"> </v>
      </c>
      <c r="H109" s="6" t="str">
        <f>_xlfn.XLOOKUP(Orders!K:K,Products!B:B,Products!F:F," ")</f>
        <v xml:space="preserve"> </v>
      </c>
      <c r="I109" s="6" t="str">
        <f>_xlfn.XLOOKUP(K:K,Products!B:B,Products!C:C," ")</f>
        <v xml:space="preserve"> </v>
      </c>
      <c r="J109" s="8" t="str">
        <f>_xlfn.XLOOKUP(K:K,Products!B:B,Products!D:D," ")</f>
        <v xml:space="preserve"> </v>
      </c>
      <c r="K109">
        <v>26</v>
      </c>
      <c r="L109" t="s">
        <v>18</v>
      </c>
      <c r="M109" t="str">
        <f>_xlfn.XLOOKUP(K:K,Products!B:B,Products!A:A," ")</f>
        <v xml:space="preserve"> </v>
      </c>
    </row>
    <row r="110" spans="1:13" x14ac:dyDescent="0.2">
      <c r="A110" t="s">
        <v>21</v>
      </c>
      <c r="B110">
        <v>364.21</v>
      </c>
      <c r="C110">
        <v>109</v>
      </c>
      <c r="D110" t="s">
        <v>20</v>
      </c>
      <c r="E110">
        <v>12</v>
      </c>
      <c r="F110" s="6">
        <v>45068</v>
      </c>
      <c r="G110" s="6" t="str">
        <f>_xlfn.XLOOKUP(K:K,Products!B:B,Products!E:E," ")</f>
        <v>Office</v>
      </c>
      <c r="H110" s="6" t="str">
        <f>_xlfn.XLOOKUP(Orders!K:K,Products!B:B,Products!F:F," ")</f>
        <v>Stationery Model 2</v>
      </c>
      <c r="I110" s="6" t="str">
        <f>_xlfn.XLOOKUP(K:K,Products!B:B,Products!C:C," ")</f>
        <v>BrandC</v>
      </c>
      <c r="J110" s="8">
        <f>_xlfn.XLOOKUP(K:K,Products!B:B,Products!D:D," ")</f>
        <v>170.2</v>
      </c>
      <c r="K110">
        <v>20</v>
      </c>
      <c r="L110" t="s">
        <v>28</v>
      </c>
      <c r="M110" t="str">
        <f>_xlfn.XLOOKUP(K:K,Products!B:B,Products!A:A," ")</f>
        <v>Stationery</v>
      </c>
    </row>
    <row r="111" spans="1:13" x14ac:dyDescent="0.2">
      <c r="A111" t="s">
        <v>16</v>
      </c>
      <c r="B111">
        <v>426.67</v>
      </c>
      <c r="C111">
        <v>110</v>
      </c>
      <c r="D111" t="s">
        <v>22</v>
      </c>
      <c r="E111">
        <v>48</v>
      </c>
      <c r="F111" s="6">
        <v>45153</v>
      </c>
      <c r="G111" s="6" t="str">
        <f>_xlfn.XLOOKUP(K:K,Products!B:B,Products!E:E," ")</f>
        <v>Home</v>
      </c>
      <c r="H111" s="6" t="str">
        <f>_xlfn.XLOOKUP(Orders!K:K,Products!B:B,Products!F:F," ")</f>
        <v>Kitchen Model 1</v>
      </c>
      <c r="I111" s="6" t="str">
        <f>_xlfn.XLOOKUP(K:K,Products!B:B,Products!C:C," ")</f>
        <v>BrandB</v>
      </c>
      <c r="J111" s="8">
        <f>_xlfn.XLOOKUP(K:K,Products!B:B,Products!D:D," ")</f>
        <v>27.76</v>
      </c>
      <c r="K111">
        <v>7</v>
      </c>
      <c r="L111" t="s">
        <v>27</v>
      </c>
      <c r="M111" t="str">
        <f>_xlfn.XLOOKUP(K:K,Products!B:B,Products!A:A," ")</f>
        <v>Kitchen</v>
      </c>
    </row>
    <row r="112" spans="1:13" x14ac:dyDescent="0.2">
      <c r="A112" t="s">
        <v>19</v>
      </c>
      <c r="B112">
        <v>247.29</v>
      </c>
      <c r="C112">
        <v>111</v>
      </c>
      <c r="D112" t="s">
        <v>17</v>
      </c>
      <c r="E112">
        <v>16</v>
      </c>
      <c r="F112" s="6">
        <v>45073</v>
      </c>
      <c r="G112" s="6" t="str">
        <f>_xlfn.XLOOKUP(K:K,Products!B:B,Products!E:E," ")</f>
        <v>Home</v>
      </c>
      <c r="H112" s="6" t="str">
        <f>_xlfn.XLOOKUP(Orders!K:K,Products!B:B,Products!F:F," ")</f>
        <v>Furniture Model 2</v>
      </c>
      <c r="I112" s="6" t="str">
        <f>_xlfn.XLOOKUP(K:K,Products!B:B,Products!C:C," ")</f>
        <v>BrandD</v>
      </c>
      <c r="J112" s="8">
        <f>_xlfn.XLOOKUP(K:K,Products!B:B,Products!D:D," ")</f>
        <v>3.75</v>
      </c>
      <c r="K112">
        <v>10</v>
      </c>
      <c r="L112" t="s">
        <v>27</v>
      </c>
      <c r="M112" t="str">
        <f>_xlfn.XLOOKUP(K:K,Products!B:B,Products!A:A," ")</f>
        <v>Furniture</v>
      </c>
    </row>
    <row r="113" spans="1:13" x14ac:dyDescent="0.2">
      <c r="A113" t="s">
        <v>16</v>
      </c>
      <c r="B113">
        <v>327.14</v>
      </c>
      <c r="C113">
        <v>112</v>
      </c>
      <c r="D113" t="s">
        <v>24</v>
      </c>
      <c r="E113">
        <v>3</v>
      </c>
      <c r="F113" s="6">
        <v>45001</v>
      </c>
      <c r="G113" s="6" t="str">
        <f>_xlfn.XLOOKUP(K:K,Products!B:B,Products!E:E," ")</f>
        <v>Electronics</v>
      </c>
      <c r="H113" s="6" t="str">
        <f>_xlfn.XLOOKUP(Orders!K:K,Products!B:B,Products!F:F," ")</f>
        <v>Laptop Model 1</v>
      </c>
      <c r="I113" s="6" t="str">
        <f>_xlfn.XLOOKUP(K:K,Products!B:B,Products!C:C," ")</f>
        <v>BrandB</v>
      </c>
      <c r="J113" s="8">
        <f>_xlfn.XLOOKUP(K:K,Products!B:B,Products!D:D," ")</f>
        <v>251.46</v>
      </c>
      <c r="K113">
        <v>3</v>
      </c>
      <c r="L113" t="s">
        <v>23</v>
      </c>
      <c r="M113" t="str">
        <f>_xlfn.XLOOKUP(K:K,Products!B:B,Products!A:A," ")</f>
        <v>Laptop</v>
      </c>
    </row>
    <row r="114" spans="1:13" x14ac:dyDescent="0.2">
      <c r="A114" t="s">
        <v>25</v>
      </c>
      <c r="B114">
        <v>10.94</v>
      </c>
      <c r="C114">
        <v>113</v>
      </c>
      <c r="D114" t="s">
        <v>17</v>
      </c>
      <c r="E114">
        <v>15</v>
      </c>
      <c r="F114" s="6">
        <v>45187</v>
      </c>
      <c r="G114" s="6" t="str">
        <f>_xlfn.XLOOKUP(K:K,Products!B:B,Products!E:E," ")</f>
        <v>Office</v>
      </c>
      <c r="H114" s="6" t="str">
        <f>_xlfn.XLOOKUP(Orders!K:K,Products!B:B,Products!F:F," ")</f>
        <v>Stationery Model 2</v>
      </c>
      <c r="I114" s="6" t="str">
        <f>_xlfn.XLOOKUP(K:K,Products!B:B,Products!C:C," ")</f>
        <v>BrandC</v>
      </c>
      <c r="J114" s="8">
        <f>_xlfn.XLOOKUP(K:K,Products!B:B,Products!D:D," ")</f>
        <v>170.2</v>
      </c>
      <c r="K114">
        <v>20</v>
      </c>
      <c r="L114" t="s">
        <v>29</v>
      </c>
      <c r="M114" t="str">
        <f>_xlfn.XLOOKUP(K:K,Products!B:B,Products!A:A," ")</f>
        <v>Stationery</v>
      </c>
    </row>
    <row r="115" spans="1:13" x14ac:dyDescent="0.2">
      <c r="A115" t="s">
        <v>21</v>
      </c>
      <c r="B115">
        <v>7.12</v>
      </c>
      <c r="C115">
        <v>114</v>
      </c>
      <c r="D115" t="s">
        <v>24</v>
      </c>
      <c r="E115">
        <v>49</v>
      </c>
      <c r="F115" s="6">
        <v>45080</v>
      </c>
      <c r="G115" s="6" t="str">
        <f>_xlfn.XLOOKUP(K:K,Products!B:B,Products!E:E," ")</f>
        <v>Office</v>
      </c>
      <c r="H115" s="6" t="str">
        <f>_xlfn.XLOOKUP(Orders!K:K,Products!B:B,Products!F:F," ")</f>
        <v>Stationery Model 2</v>
      </c>
      <c r="I115" s="6" t="str">
        <f>_xlfn.XLOOKUP(K:K,Products!B:B,Products!C:C," ")</f>
        <v>BrandC</v>
      </c>
      <c r="J115" s="8">
        <f>_xlfn.XLOOKUP(K:K,Products!B:B,Products!D:D," ")</f>
        <v>170.2</v>
      </c>
      <c r="K115">
        <v>20</v>
      </c>
      <c r="L115" t="s">
        <v>26</v>
      </c>
      <c r="M115" t="str">
        <f>_xlfn.XLOOKUP(K:K,Products!B:B,Products!A:A," ")</f>
        <v>Stationery</v>
      </c>
    </row>
    <row r="116" spans="1:13" x14ac:dyDescent="0.2">
      <c r="A116" t="s">
        <v>16</v>
      </c>
      <c r="B116">
        <v>89.93</v>
      </c>
      <c r="C116">
        <v>115</v>
      </c>
      <c r="D116" t="s">
        <v>20</v>
      </c>
      <c r="E116">
        <v>43</v>
      </c>
      <c r="F116" s="6">
        <v>45028</v>
      </c>
      <c r="G116" s="6" t="str">
        <f>_xlfn.XLOOKUP(K:K,Products!B:B,Products!E:E," ")</f>
        <v>Sports</v>
      </c>
      <c r="H116" s="6" t="str">
        <f>_xlfn.XLOOKUP(Orders!K:K,Products!B:B,Products!F:F," ")</f>
        <v>Clothing Model 1</v>
      </c>
      <c r="I116" s="6" t="str">
        <f>_xlfn.XLOOKUP(K:K,Products!B:B,Products!C:C," ")</f>
        <v>BrandD</v>
      </c>
      <c r="J116" s="8">
        <f>_xlfn.XLOOKUP(K:K,Products!B:B,Products!D:D," ")</f>
        <v>111.57</v>
      </c>
      <c r="K116">
        <v>17</v>
      </c>
      <c r="L116" t="s">
        <v>29</v>
      </c>
      <c r="M116" t="str">
        <f>_xlfn.XLOOKUP(K:K,Products!B:B,Products!A:A," ")</f>
        <v>Clothing</v>
      </c>
    </row>
    <row r="117" spans="1:13" x14ac:dyDescent="0.2">
      <c r="A117" t="s">
        <v>25</v>
      </c>
      <c r="B117">
        <v>403.39</v>
      </c>
      <c r="C117">
        <v>116</v>
      </c>
      <c r="D117" t="s">
        <v>17</v>
      </c>
      <c r="E117">
        <v>33</v>
      </c>
      <c r="F117" s="6">
        <v>45210</v>
      </c>
      <c r="G117" s="6" t="str">
        <f>_xlfn.XLOOKUP(K:K,Products!B:B,Products!E:E," ")</f>
        <v>Sports</v>
      </c>
      <c r="H117" s="6" t="str">
        <f>_xlfn.XLOOKUP(Orders!K:K,Products!B:B,Products!F:F," ")</f>
        <v>Outdoor Model 2</v>
      </c>
      <c r="I117" s="6" t="str">
        <f>_xlfn.XLOOKUP(K:K,Products!B:B,Products!C:C," ")</f>
        <v>BrandA</v>
      </c>
      <c r="J117" s="8">
        <f>_xlfn.XLOOKUP(K:K,Products!B:B,Products!D:D," ")</f>
        <v>21.27</v>
      </c>
      <c r="K117">
        <v>16</v>
      </c>
      <c r="L117" t="s">
        <v>26</v>
      </c>
      <c r="M117" t="str">
        <f>_xlfn.XLOOKUP(K:K,Products!B:B,Products!A:A," ")</f>
        <v>Outdoor</v>
      </c>
    </row>
    <row r="118" spans="1:13" x14ac:dyDescent="0.2">
      <c r="A118" t="s">
        <v>21</v>
      </c>
      <c r="B118">
        <v>171</v>
      </c>
      <c r="C118">
        <v>117</v>
      </c>
      <c r="D118" t="s">
        <v>20</v>
      </c>
      <c r="E118">
        <v>42</v>
      </c>
      <c r="F118" s="6">
        <v>45094</v>
      </c>
      <c r="G118" s="6" t="str">
        <f>_xlfn.XLOOKUP(K:K,Products!B:B,Products!E:E," ")</f>
        <v>Home</v>
      </c>
      <c r="H118" s="6" t="str">
        <f>_xlfn.XLOOKUP(Orders!K:K,Products!B:B,Products!F:F," ")</f>
        <v>Furniture Model 2</v>
      </c>
      <c r="I118" s="6" t="str">
        <f>_xlfn.XLOOKUP(K:K,Products!B:B,Products!C:C," ")</f>
        <v>BrandD</v>
      </c>
      <c r="J118" s="8">
        <f>_xlfn.XLOOKUP(K:K,Products!B:B,Products!D:D," ")</f>
        <v>3.75</v>
      </c>
      <c r="K118">
        <v>10</v>
      </c>
      <c r="L118" t="s">
        <v>18</v>
      </c>
      <c r="M118" t="str">
        <f>_xlfn.XLOOKUP(K:K,Products!B:B,Products!A:A," ")</f>
        <v>Furniture</v>
      </c>
    </row>
    <row r="119" spans="1:13" x14ac:dyDescent="0.2">
      <c r="A119" t="s">
        <v>21</v>
      </c>
      <c r="B119">
        <v>493.78</v>
      </c>
      <c r="C119">
        <v>118</v>
      </c>
      <c r="D119" t="s">
        <v>17</v>
      </c>
      <c r="E119">
        <v>1</v>
      </c>
      <c r="F119" s="6">
        <v>45234</v>
      </c>
      <c r="G119" s="6" t="str">
        <f>_xlfn.XLOOKUP(K:K,Products!B:B,Products!E:E," ")</f>
        <v xml:space="preserve"> </v>
      </c>
      <c r="H119" s="6" t="str">
        <f>_xlfn.XLOOKUP(Orders!K:K,Products!B:B,Products!F:F," ")</f>
        <v xml:space="preserve"> </v>
      </c>
      <c r="I119" s="6" t="str">
        <f>_xlfn.XLOOKUP(K:K,Products!B:B,Products!C:C," ")</f>
        <v xml:space="preserve"> </v>
      </c>
      <c r="J119" s="8" t="str">
        <f>_xlfn.XLOOKUP(K:K,Products!B:B,Products!D:D," ")</f>
        <v xml:space="preserve"> </v>
      </c>
      <c r="K119">
        <v>25</v>
      </c>
      <c r="L119" t="s">
        <v>23</v>
      </c>
      <c r="M119" t="str">
        <f>_xlfn.XLOOKUP(K:K,Products!B:B,Products!A:A," ")</f>
        <v xml:space="preserve"> </v>
      </c>
    </row>
    <row r="120" spans="1:13" x14ac:dyDescent="0.2">
      <c r="A120" t="s">
        <v>16</v>
      </c>
      <c r="B120">
        <v>151.83000000000001</v>
      </c>
      <c r="C120">
        <v>119</v>
      </c>
      <c r="D120" t="s">
        <v>17</v>
      </c>
      <c r="E120">
        <v>12</v>
      </c>
      <c r="F120" s="6">
        <v>44942</v>
      </c>
      <c r="G120" s="6" t="str">
        <f>_xlfn.XLOOKUP(K:K,Products!B:B,Products!E:E," ")</f>
        <v>Electronics</v>
      </c>
      <c r="H120" s="6" t="str">
        <f>_xlfn.XLOOKUP(Orders!K:K,Products!B:B,Products!F:F," ")</f>
        <v>Laptop Model 1</v>
      </c>
      <c r="I120" s="6" t="str">
        <f>_xlfn.XLOOKUP(K:K,Products!B:B,Products!C:C," ")</f>
        <v>BrandB</v>
      </c>
      <c r="J120" s="8">
        <f>_xlfn.XLOOKUP(K:K,Products!B:B,Products!D:D," ")</f>
        <v>251.46</v>
      </c>
      <c r="K120">
        <v>3</v>
      </c>
      <c r="L120" t="s">
        <v>23</v>
      </c>
      <c r="M120" t="str">
        <f>_xlfn.XLOOKUP(K:K,Products!B:B,Products!A:A," ")</f>
        <v>Laptop</v>
      </c>
    </row>
    <row r="121" spans="1:13" x14ac:dyDescent="0.2">
      <c r="A121" t="s">
        <v>21</v>
      </c>
      <c r="B121">
        <v>212.68</v>
      </c>
      <c r="C121">
        <v>120</v>
      </c>
      <c r="D121" t="s">
        <v>24</v>
      </c>
      <c r="E121">
        <v>41</v>
      </c>
      <c r="F121" s="6">
        <v>45135</v>
      </c>
      <c r="G121" s="6" t="str">
        <f>_xlfn.XLOOKUP(K:K,Products!B:B,Products!E:E," ")</f>
        <v>Sports</v>
      </c>
      <c r="H121" s="6" t="str">
        <f>_xlfn.XLOOKUP(Orders!K:K,Products!B:B,Products!F:F," ")</f>
        <v>Outdoor Model 1</v>
      </c>
      <c r="I121" s="6" t="str">
        <f>_xlfn.XLOOKUP(K:K,Products!B:B,Products!C:C," ")</f>
        <v>BrandD</v>
      </c>
      <c r="J121" s="8">
        <f>_xlfn.XLOOKUP(K:K,Products!B:B,Products!D:D," ")</f>
        <v>223.53</v>
      </c>
      <c r="K121">
        <v>15</v>
      </c>
      <c r="L121" t="s">
        <v>27</v>
      </c>
      <c r="M121" t="str">
        <f>_xlfn.XLOOKUP(K:K,Products!B:B,Products!A:A," ")</f>
        <v>Outdoor</v>
      </c>
    </row>
    <row r="122" spans="1:13" x14ac:dyDescent="0.2">
      <c r="A122" t="s">
        <v>25</v>
      </c>
      <c r="B122">
        <v>426.28</v>
      </c>
      <c r="C122">
        <v>121</v>
      </c>
      <c r="D122" t="s">
        <v>24</v>
      </c>
      <c r="E122">
        <v>39</v>
      </c>
      <c r="F122" s="6">
        <v>44953</v>
      </c>
      <c r="G122" s="6" t="str">
        <f>_xlfn.XLOOKUP(K:K,Products!B:B,Products!E:E," ")</f>
        <v>Electronics</v>
      </c>
      <c r="H122" s="6" t="str">
        <f>_xlfn.XLOOKUP(Orders!K:K,Products!B:B,Products!F:F," ")</f>
        <v>Laptop Model 2</v>
      </c>
      <c r="I122" s="6" t="str">
        <f>_xlfn.XLOOKUP(K:K,Products!B:B,Products!C:C," ")</f>
        <v>BrandB</v>
      </c>
      <c r="J122" s="8">
        <f>_xlfn.XLOOKUP(K:K,Products!B:B,Products!D:D," ")</f>
        <v>65.05</v>
      </c>
      <c r="K122">
        <v>4</v>
      </c>
      <c r="L122" t="s">
        <v>29</v>
      </c>
      <c r="M122" t="str">
        <f>_xlfn.XLOOKUP(K:K,Products!B:B,Products!A:A," ")</f>
        <v>Laptop</v>
      </c>
    </row>
    <row r="123" spans="1:13" x14ac:dyDescent="0.2">
      <c r="A123" t="s">
        <v>16</v>
      </c>
      <c r="B123">
        <v>58.29</v>
      </c>
      <c r="C123">
        <v>122</v>
      </c>
      <c r="D123" t="s">
        <v>20</v>
      </c>
      <c r="E123">
        <v>6</v>
      </c>
      <c r="F123" s="6">
        <v>45166</v>
      </c>
      <c r="G123" s="6" t="str">
        <f>_xlfn.XLOOKUP(K:K,Products!B:B,Products!E:E," ")</f>
        <v>Home</v>
      </c>
      <c r="H123" s="6" t="str">
        <f>_xlfn.XLOOKUP(Orders!K:K,Products!B:B,Products!F:F," ")</f>
        <v>Cleaning Model 1</v>
      </c>
      <c r="I123" s="6" t="str">
        <f>_xlfn.XLOOKUP(K:K,Products!B:B,Products!C:C," ")</f>
        <v>BrandD</v>
      </c>
      <c r="J123" s="8">
        <f>_xlfn.XLOOKUP(K:K,Products!B:B,Products!D:D," ")</f>
        <v>191.61</v>
      </c>
      <c r="K123">
        <v>11</v>
      </c>
      <c r="L123" t="s">
        <v>23</v>
      </c>
      <c r="M123" t="str">
        <f>_xlfn.XLOOKUP(K:K,Products!B:B,Products!A:A," ")</f>
        <v>Cleaning</v>
      </c>
    </row>
    <row r="124" spans="1:13" x14ac:dyDescent="0.2">
      <c r="A124" t="s">
        <v>21</v>
      </c>
      <c r="B124">
        <v>320.14</v>
      </c>
      <c r="C124">
        <v>123</v>
      </c>
      <c r="D124" t="s">
        <v>22</v>
      </c>
      <c r="E124">
        <v>47</v>
      </c>
      <c r="F124" s="6">
        <v>45209</v>
      </c>
      <c r="G124" s="6" t="str">
        <f>_xlfn.XLOOKUP(K:K,Products!B:B,Products!E:E," ")</f>
        <v>Electronics</v>
      </c>
      <c r="H124" s="6" t="str">
        <f>_xlfn.XLOOKUP(Orders!K:K,Products!B:B,Products!F:F," ")</f>
        <v>Tablet Model 2</v>
      </c>
      <c r="I124" s="6" t="str">
        <f>_xlfn.XLOOKUP(K:K,Products!B:B,Products!C:C," ")</f>
        <v>BrandB</v>
      </c>
      <c r="J124" s="8">
        <f>_xlfn.XLOOKUP(K:K,Products!B:B,Products!D:D," ")</f>
        <v>184.01</v>
      </c>
      <c r="K124">
        <v>6</v>
      </c>
      <c r="L124" t="s">
        <v>28</v>
      </c>
      <c r="M124" t="str">
        <f>_xlfn.XLOOKUP(K:K,Products!B:B,Products!A:A," ")</f>
        <v>Tablet</v>
      </c>
    </row>
    <row r="125" spans="1:13" x14ac:dyDescent="0.2">
      <c r="A125" t="s">
        <v>21</v>
      </c>
      <c r="B125">
        <v>357.91</v>
      </c>
      <c r="C125">
        <v>124</v>
      </c>
      <c r="D125" t="s">
        <v>22</v>
      </c>
      <c r="E125">
        <v>13</v>
      </c>
      <c r="F125" s="6">
        <v>45042</v>
      </c>
      <c r="G125" s="6" t="str">
        <f>_xlfn.XLOOKUP(K:K,Products!B:B,Products!E:E," ")</f>
        <v>Office</v>
      </c>
      <c r="H125" s="6" t="str">
        <f>_xlfn.XLOOKUP(Orders!K:K,Products!B:B,Products!F:F," ")</f>
        <v>Office Furniture Model 2</v>
      </c>
      <c r="I125" s="6" t="str">
        <f>_xlfn.XLOOKUP(K:K,Products!B:B,Products!C:C," ")</f>
        <v>BrandA</v>
      </c>
      <c r="J125" s="8">
        <f>_xlfn.XLOOKUP(K:K,Products!B:B,Products!D:D," ")</f>
        <v>59.72</v>
      </c>
      <c r="K125">
        <v>22</v>
      </c>
      <c r="L125" t="s">
        <v>28</v>
      </c>
      <c r="M125" t="str">
        <f>_xlfn.XLOOKUP(K:K,Products!B:B,Products!A:A," ")</f>
        <v>Office Furniture</v>
      </c>
    </row>
    <row r="126" spans="1:13" x14ac:dyDescent="0.2">
      <c r="A126" t="s">
        <v>16</v>
      </c>
      <c r="B126">
        <v>402.48</v>
      </c>
      <c r="C126">
        <v>125</v>
      </c>
      <c r="D126" t="s">
        <v>24</v>
      </c>
      <c r="E126">
        <v>43</v>
      </c>
      <c r="F126" s="6">
        <v>44978</v>
      </c>
      <c r="G126" s="6" t="str">
        <f>_xlfn.XLOOKUP(K:K,Products!B:B,Products!E:E," ")</f>
        <v>Home</v>
      </c>
      <c r="H126" s="6" t="str">
        <f>_xlfn.XLOOKUP(Orders!K:K,Products!B:B,Products!F:F," ")</f>
        <v>Kitchen Model 1</v>
      </c>
      <c r="I126" s="6" t="str">
        <f>_xlfn.XLOOKUP(K:K,Products!B:B,Products!C:C," ")</f>
        <v>BrandB</v>
      </c>
      <c r="J126" s="8">
        <f>_xlfn.XLOOKUP(K:K,Products!B:B,Products!D:D," ")</f>
        <v>27.76</v>
      </c>
      <c r="K126">
        <v>7</v>
      </c>
      <c r="L126" t="s">
        <v>28</v>
      </c>
      <c r="M126" t="str">
        <f>_xlfn.XLOOKUP(K:K,Products!B:B,Products!A:A," ")</f>
        <v>Kitchen</v>
      </c>
    </row>
    <row r="127" spans="1:13" x14ac:dyDescent="0.2">
      <c r="A127" t="s">
        <v>21</v>
      </c>
      <c r="B127">
        <v>301.77</v>
      </c>
      <c r="C127">
        <v>126</v>
      </c>
      <c r="D127" t="s">
        <v>24</v>
      </c>
      <c r="E127">
        <v>3</v>
      </c>
      <c r="F127" s="6">
        <v>45255</v>
      </c>
      <c r="G127" s="6" t="str">
        <f>_xlfn.XLOOKUP(K:K,Products!B:B,Products!E:E," ")</f>
        <v>Home</v>
      </c>
      <c r="H127" s="6" t="str">
        <f>_xlfn.XLOOKUP(Orders!K:K,Products!B:B,Products!F:F," ")</f>
        <v>Cleaning Model 1</v>
      </c>
      <c r="I127" s="6" t="str">
        <f>_xlfn.XLOOKUP(K:K,Products!B:B,Products!C:C," ")</f>
        <v>BrandD</v>
      </c>
      <c r="J127" s="8">
        <f>_xlfn.XLOOKUP(K:K,Products!B:B,Products!D:D," ")</f>
        <v>191.61</v>
      </c>
      <c r="K127">
        <v>11</v>
      </c>
      <c r="L127" t="s">
        <v>28</v>
      </c>
      <c r="M127" t="str">
        <f>_xlfn.XLOOKUP(K:K,Products!B:B,Products!A:A," ")</f>
        <v>Cleaning</v>
      </c>
    </row>
    <row r="128" spans="1:13" x14ac:dyDescent="0.2">
      <c r="A128" t="s">
        <v>19</v>
      </c>
      <c r="B128">
        <v>342.66</v>
      </c>
      <c r="C128">
        <v>127</v>
      </c>
      <c r="D128" t="s">
        <v>20</v>
      </c>
      <c r="E128">
        <v>46</v>
      </c>
      <c r="F128" s="6">
        <v>45265</v>
      </c>
      <c r="G128" s="6" t="str">
        <f>_xlfn.XLOOKUP(K:K,Products!B:B,Products!E:E," ")</f>
        <v>Sports</v>
      </c>
      <c r="H128" s="6" t="str">
        <f>_xlfn.XLOOKUP(Orders!K:K,Products!B:B,Products!F:F," ")</f>
        <v>Outdoor Model 1</v>
      </c>
      <c r="I128" s="6" t="str">
        <f>_xlfn.XLOOKUP(K:K,Products!B:B,Products!C:C," ")</f>
        <v>BrandD</v>
      </c>
      <c r="J128" s="8">
        <f>_xlfn.XLOOKUP(K:K,Products!B:B,Products!D:D," ")</f>
        <v>223.53</v>
      </c>
      <c r="K128">
        <v>15</v>
      </c>
      <c r="L128" t="s">
        <v>28</v>
      </c>
      <c r="M128" t="str">
        <f>_xlfn.XLOOKUP(K:K,Products!B:B,Products!A:A," ")</f>
        <v>Outdoor</v>
      </c>
    </row>
    <row r="129" spans="1:13" x14ac:dyDescent="0.2">
      <c r="A129" t="s">
        <v>19</v>
      </c>
      <c r="B129">
        <v>214.22</v>
      </c>
      <c r="C129">
        <v>128</v>
      </c>
      <c r="D129" t="s">
        <v>22</v>
      </c>
      <c r="E129">
        <v>44</v>
      </c>
      <c r="F129" s="6">
        <v>45244</v>
      </c>
      <c r="G129" s="6" t="str">
        <f>_xlfn.XLOOKUP(K:K,Products!B:B,Products!E:E," ")</f>
        <v xml:space="preserve"> </v>
      </c>
      <c r="H129" s="6" t="str">
        <f>_xlfn.XLOOKUP(Orders!K:K,Products!B:B,Products!F:F," ")</f>
        <v xml:space="preserve"> </v>
      </c>
      <c r="I129" s="6" t="str">
        <f>_xlfn.XLOOKUP(K:K,Products!B:B,Products!C:C," ")</f>
        <v xml:space="preserve"> </v>
      </c>
      <c r="J129" s="8" t="str">
        <f>_xlfn.XLOOKUP(K:K,Products!B:B,Products!D:D," ")</f>
        <v xml:space="preserve"> </v>
      </c>
      <c r="K129">
        <v>26</v>
      </c>
      <c r="L129" t="s">
        <v>27</v>
      </c>
      <c r="M129" t="str">
        <f>_xlfn.XLOOKUP(K:K,Products!B:B,Products!A:A," ")</f>
        <v xml:space="preserve"> </v>
      </c>
    </row>
    <row r="130" spans="1:13" x14ac:dyDescent="0.2">
      <c r="A130" t="s">
        <v>16</v>
      </c>
      <c r="B130">
        <v>453.4</v>
      </c>
      <c r="C130">
        <v>129</v>
      </c>
      <c r="D130" t="s">
        <v>17</v>
      </c>
      <c r="E130">
        <v>33</v>
      </c>
      <c r="F130" s="6">
        <v>45183</v>
      </c>
      <c r="G130" s="6" t="str">
        <f>_xlfn.XLOOKUP(K:K,Products!B:B,Products!E:E," ")</f>
        <v>Electronics</v>
      </c>
      <c r="H130" s="6" t="str">
        <f>_xlfn.XLOOKUP(Orders!K:K,Products!B:B,Products!F:F," ")</f>
        <v>Smartphone Model 1</v>
      </c>
      <c r="I130" s="6" t="str">
        <f>_xlfn.XLOOKUP(K:K,Products!B:B,Products!C:C," ")</f>
        <v>BrandC</v>
      </c>
      <c r="J130" s="8">
        <f>_xlfn.XLOOKUP(K:K,Products!B:B,Products!D:D," ")</f>
        <v>285.64999999999998</v>
      </c>
      <c r="K130">
        <v>1</v>
      </c>
      <c r="L130" t="s">
        <v>27</v>
      </c>
      <c r="M130" t="str">
        <f>_xlfn.XLOOKUP(K:K,Products!B:B,Products!A:A," ")</f>
        <v>Smartphone</v>
      </c>
    </row>
    <row r="131" spans="1:13" x14ac:dyDescent="0.2">
      <c r="A131" t="s">
        <v>25</v>
      </c>
      <c r="B131">
        <v>416.59</v>
      </c>
      <c r="C131">
        <v>130</v>
      </c>
      <c r="D131" t="s">
        <v>22</v>
      </c>
      <c r="E131">
        <v>44</v>
      </c>
      <c r="F131" s="6">
        <v>44974</v>
      </c>
      <c r="G131" s="6" t="str">
        <f>_xlfn.XLOOKUP(K:K,Products!B:B,Products!E:E," ")</f>
        <v>Sports</v>
      </c>
      <c r="H131" s="6" t="str">
        <f>_xlfn.XLOOKUP(Orders!K:K,Products!B:B,Products!F:F," ")</f>
        <v>Outdoor Model 1</v>
      </c>
      <c r="I131" s="6" t="str">
        <f>_xlfn.XLOOKUP(K:K,Products!B:B,Products!C:C," ")</f>
        <v>BrandD</v>
      </c>
      <c r="J131" s="8">
        <f>_xlfn.XLOOKUP(K:K,Products!B:B,Products!D:D," ")</f>
        <v>223.53</v>
      </c>
      <c r="K131">
        <v>15</v>
      </c>
      <c r="L131" t="s">
        <v>27</v>
      </c>
      <c r="M131" t="str">
        <f>_xlfn.XLOOKUP(K:K,Products!B:B,Products!A:A," ")</f>
        <v>Outdoor</v>
      </c>
    </row>
    <row r="132" spans="1:13" x14ac:dyDescent="0.2">
      <c r="A132" t="s">
        <v>16</v>
      </c>
      <c r="B132">
        <v>124.02</v>
      </c>
      <c r="C132">
        <v>131</v>
      </c>
      <c r="D132" t="s">
        <v>24</v>
      </c>
      <c r="E132">
        <v>19</v>
      </c>
      <c r="F132" s="6">
        <v>45133</v>
      </c>
      <c r="G132" s="6" t="str">
        <f>_xlfn.XLOOKUP(K:K,Products!B:B,Products!E:E," ")</f>
        <v>Electronics</v>
      </c>
      <c r="H132" s="6" t="str">
        <f>_xlfn.XLOOKUP(Orders!K:K,Products!B:B,Products!F:F," ")</f>
        <v>Laptop Model 2</v>
      </c>
      <c r="I132" s="6" t="str">
        <f>_xlfn.XLOOKUP(K:K,Products!B:B,Products!C:C," ")</f>
        <v>BrandB</v>
      </c>
      <c r="J132" s="8">
        <f>_xlfn.XLOOKUP(K:K,Products!B:B,Products!D:D," ")</f>
        <v>65.05</v>
      </c>
      <c r="K132">
        <v>4</v>
      </c>
      <c r="L132" t="s">
        <v>29</v>
      </c>
      <c r="M132" t="str">
        <f>_xlfn.XLOOKUP(K:K,Products!B:B,Products!A:A," ")</f>
        <v>Laptop</v>
      </c>
    </row>
    <row r="133" spans="1:13" x14ac:dyDescent="0.2">
      <c r="A133" t="s">
        <v>25</v>
      </c>
      <c r="B133">
        <v>81.89</v>
      </c>
      <c r="C133">
        <v>132</v>
      </c>
      <c r="D133" t="s">
        <v>17</v>
      </c>
      <c r="E133">
        <v>17</v>
      </c>
      <c r="F133" s="6">
        <v>45115</v>
      </c>
      <c r="G133" s="6" t="str">
        <f>_xlfn.XLOOKUP(K:K,Products!B:B,Products!E:E," ")</f>
        <v xml:space="preserve"> </v>
      </c>
      <c r="H133" s="6" t="str">
        <f>_xlfn.XLOOKUP(Orders!K:K,Products!B:B,Products!F:F," ")</f>
        <v xml:space="preserve"> </v>
      </c>
      <c r="I133" s="6" t="str">
        <f>_xlfn.XLOOKUP(K:K,Products!B:B,Products!C:C," ")</f>
        <v xml:space="preserve"> </v>
      </c>
      <c r="J133" s="8" t="str">
        <f>_xlfn.XLOOKUP(K:K,Products!B:B,Products!D:D," ")</f>
        <v xml:space="preserve"> </v>
      </c>
      <c r="K133">
        <v>29</v>
      </c>
      <c r="L133" t="s">
        <v>23</v>
      </c>
      <c r="M133" t="str">
        <f>_xlfn.XLOOKUP(K:K,Products!B:B,Products!A:A," ")</f>
        <v xml:space="preserve"> </v>
      </c>
    </row>
    <row r="134" spans="1:13" x14ac:dyDescent="0.2">
      <c r="A134" t="s">
        <v>25</v>
      </c>
      <c r="B134">
        <v>265</v>
      </c>
      <c r="C134">
        <v>133</v>
      </c>
      <c r="D134" t="s">
        <v>24</v>
      </c>
      <c r="E134">
        <v>37</v>
      </c>
      <c r="F134" s="6">
        <v>44974</v>
      </c>
      <c r="G134" s="6" t="str">
        <f>_xlfn.XLOOKUP(K:K,Products!B:B,Products!E:E," ")</f>
        <v>Home</v>
      </c>
      <c r="H134" s="6" t="str">
        <f>_xlfn.XLOOKUP(Orders!K:K,Products!B:B,Products!F:F," ")</f>
        <v>Cleaning Model 1</v>
      </c>
      <c r="I134" s="6" t="str">
        <f>_xlfn.XLOOKUP(K:K,Products!B:B,Products!C:C," ")</f>
        <v>BrandD</v>
      </c>
      <c r="J134" s="8">
        <f>_xlfn.XLOOKUP(K:K,Products!B:B,Products!D:D," ")</f>
        <v>191.61</v>
      </c>
      <c r="K134">
        <v>11</v>
      </c>
      <c r="L134" t="s">
        <v>18</v>
      </c>
      <c r="M134" t="str">
        <f>_xlfn.XLOOKUP(K:K,Products!B:B,Products!A:A," ")</f>
        <v>Cleaning</v>
      </c>
    </row>
    <row r="135" spans="1:13" x14ac:dyDescent="0.2">
      <c r="A135" t="s">
        <v>25</v>
      </c>
      <c r="B135">
        <v>261.13</v>
      </c>
      <c r="C135">
        <v>134</v>
      </c>
      <c r="D135" t="s">
        <v>17</v>
      </c>
      <c r="E135">
        <v>36</v>
      </c>
      <c r="F135" s="6">
        <v>45064</v>
      </c>
      <c r="G135" s="6" t="str">
        <f>_xlfn.XLOOKUP(K:K,Products!B:B,Products!E:E," ")</f>
        <v>Sports</v>
      </c>
      <c r="H135" s="6" t="str">
        <f>_xlfn.XLOOKUP(Orders!K:K,Products!B:B,Products!F:F," ")</f>
        <v>Outdoor Model 2</v>
      </c>
      <c r="I135" s="6" t="str">
        <f>_xlfn.XLOOKUP(K:K,Products!B:B,Products!C:C," ")</f>
        <v>BrandA</v>
      </c>
      <c r="J135" s="8">
        <f>_xlfn.XLOOKUP(K:K,Products!B:B,Products!D:D," ")</f>
        <v>21.27</v>
      </c>
      <c r="K135">
        <v>16</v>
      </c>
      <c r="L135" t="s">
        <v>27</v>
      </c>
      <c r="M135" t="str">
        <f>_xlfn.XLOOKUP(K:K,Products!B:B,Products!A:A," ")</f>
        <v>Outdoor</v>
      </c>
    </row>
    <row r="136" spans="1:13" x14ac:dyDescent="0.2">
      <c r="A136" t="s">
        <v>19</v>
      </c>
      <c r="B136">
        <v>111.09</v>
      </c>
      <c r="C136">
        <v>135</v>
      </c>
      <c r="D136" t="s">
        <v>17</v>
      </c>
      <c r="E136">
        <v>34</v>
      </c>
      <c r="F136" s="6">
        <v>45256</v>
      </c>
      <c r="G136" s="6" t="str">
        <f>_xlfn.XLOOKUP(K:K,Products!B:B,Products!E:E," ")</f>
        <v>Electronics</v>
      </c>
      <c r="H136" s="6" t="str">
        <f>_xlfn.XLOOKUP(Orders!K:K,Products!B:B,Products!F:F," ")</f>
        <v>Tablet Model 2</v>
      </c>
      <c r="I136" s="6" t="str">
        <f>_xlfn.XLOOKUP(K:K,Products!B:B,Products!C:C," ")</f>
        <v>BrandB</v>
      </c>
      <c r="J136" s="8">
        <f>_xlfn.XLOOKUP(K:K,Products!B:B,Products!D:D," ")</f>
        <v>184.01</v>
      </c>
      <c r="K136">
        <v>6</v>
      </c>
      <c r="L136" t="s">
        <v>28</v>
      </c>
      <c r="M136" t="str">
        <f>_xlfn.XLOOKUP(K:K,Products!B:B,Products!A:A," ")</f>
        <v>Tablet</v>
      </c>
    </row>
    <row r="137" spans="1:13" x14ac:dyDescent="0.2">
      <c r="A137" t="s">
        <v>25</v>
      </c>
      <c r="B137">
        <v>306.39</v>
      </c>
      <c r="C137">
        <v>136</v>
      </c>
      <c r="D137" t="s">
        <v>17</v>
      </c>
      <c r="E137">
        <v>3</v>
      </c>
      <c r="F137" s="6">
        <v>45283</v>
      </c>
      <c r="G137" s="6" t="str">
        <f>_xlfn.XLOOKUP(K:K,Products!B:B,Products!E:E," ")</f>
        <v>Home</v>
      </c>
      <c r="H137" s="6" t="str">
        <f>_xlfn.XLOOKUP(Orders!K:K,Products!B:B,Products!F:F," ")</f>
        <v>Furniture Model 1</v>
      </c>
      <c r="I137" s="6" t="str">
        <f>_xlfn.XLOOKUP(K:K,Products!B:B,Products!C:C," ")</f>
        <v>BrandD</v>
      </c>
      <c r="J137" s="8">
        <f>_xlfn.XLOOKUP(K:K,Products!B:B,Products!D:D," ")</f>
        <v>7.21</v>
      </c>
      <c r="K137">
        <v>9</v>
      </c>
      <c r="L137" t="s">
        <v>23</v>
      </c>
      <c r="M137" t="str">
        <f>_xlfn.XLOOKUP(K:K,Products!B:B,Products!A:A," ")</f>
        <v>Furniture</v>
      </c>
    </row>
    <row r="138" spans="1:13" x14ac:dyDescent="0.2">
      <c r="A138" t="s">
        <v>25</v>
      </c>
      <c r="B138">
        <v>336.42</v>
      </c>
      <c r="C138">
        <v>137</v>
      </c>
      <c r="D138" t="s">
        <v>20</v>
      </c>
      <c r="E138">
        <v>17</v>
      </c>
      <c r="F138" s="6">
        <v>45179</v>
      </c>
      <c r="G138" s="6" t="str">
        <f>_xlfn.XLOOKUP(K:K,Products!B:B,Products!E:E," ")</f>
        <v xml:space="preserve"> </v>
      </c>
      <c r="H138" s="6" t="str">
        <f>_xlfn.XLOOKUP(Orders!K:K,Products!B:B,Products!F:F," ")</f>
        <v xml:space="preserve"> </v>
      </c>
      <c r="I138" s="6" t="str">
        <f>_xlfn.XLOOKUP(K:K,Products!B:B,Products!C:C," ")</f>
        <v xml:space="preserve"> </v>
      </c>
      <c r="J138" s="8" t="str">
        <f>_xlfn.XLOOKUP(K:K,Products!B:B,Products!D:D," ")</f>
        <v xml:space="preserve"> </v>
      </c>
      <c r="K138">
        <v>25</v>
      </c>
      <c r="L138" t="s">
        <v>18</v>
      </c>
      <c r="M138" t="str">
        <f>_xlfn.XLOOKUP(K:K,Products!B:B,Products!A:A," ")</f>
        <v xml:space="preserve"> </v>
      </c>
    </row>
    <row r="139" spans="1:13" x14ac:dyDescent="0.2">
      <c r="A139" t="s">
        <v>21</v>
      </c>
      <c r="B139">
        <v>207.49</v>
      </c>
      <c r="C139">
        <v>138</v>
      </c>
      <c r="D139" t="s">
        <v>22</v>
      </c>
      <c r="E139">
        <v>36</v>
      </c>
      <c r="F139" s="6">
        <v>45177</v>
      </c>
      <c r="G139" s="6" t="str">
        <f>_xlfn.XLOOKUP(K:K,Products!B:B,Products!E:E," ")</f>
        <v>Electronics</v>
      </c>
      <c r="H139" s="6" t="str">
        <f>_xlfn.XLOOKUP(Orders!K:K,Products!B:B,Products!F:F," ")</f>
        <v>Tablet Model 1</v>
      </c>
      <c r="I139" s="6" t="str">
        <f>_xlfn.XLOOKUP(K:K,Products!B:B,Products!C:C," ")</f>
        <v>BrandD</v>
      </c>
      <c r="J139" s="8">
        <f>_xlfn.XLOOKUP(K:K,Products!B:B,Products!D:D," ")</f>
        <v>55.43</v>
      </c>
      <c r="K139">
        <v>5</v>
      </c>
      <c r="L139" t="s">
        <v>28</v>
      </c>
      <c r="M139" t="str">
        <f>_xlfn.XLOOKUP(K:K,Products!B:B,Products!A:A," ")</f>
        <v>Tablet</v>
      </c>
    </row>
    <row r="140" spans="1:13" x14ac:dyDescent="0.2">
      <c r="A140" t="s">
        <v>16</v>
      </c>
      <c r="B140">
        <v>163.26</v>
      </c>
      <c r="C140">
        <v>139</v>
      </c>
      <c r="D140" t="s">
        <v>22</v>
      </c>
      <c r="E140">
        <v>22</v>
      </c>
      <c r="F140" s="6">
        <v>45199</v>
      </c>
      <c r="G140" s="6" t="str">
        <f>_xlfn.XLOOKUP(K:K,Products!B:B,Products!E:E," ")</f>
        <v>Home</v>
      </c>
      <c r="H140" s="6" t="str">
        <f>_xlfn.XLOOKUP(Orders!K:K,Products!B:B,Products!F:F," ")</f>
        <v>Kitchen Model 2</v>
      </c>
      <c r="I140" s="6" t="str">
        <f>_xlfn.XLOOKUP(K:K,Products!B:B,Products!C:C," ")</f>
        <v>BrandC</v>
      </c>
      <c r="J140" s="8">
        <f>_xlfn.XLOOKUP(K:K,Products!B:B,Products!D:D," ")</f>
        <v>163.13999999999999</v>
      </c>
      <c r="K140">
        <v>8</v>
      </c>
      <c r="L140" t="s">
        <v>27</v>
      </c>
      <c r="M140" t="str">
        <f>_xlfn.XLOOKUP(K:K,Products!B:B,Products!A:A," ")</f>
        <v>Kitchen</v>
      </c>
    </row>
    <row r="141" spans="1:13" x14ac:dyDescent="0.2">
      <c r="A141" t="s">
        <v>25</v>
      </c>
      <c r="B141">
        <v>54.36</v>
      </c>
      <c r="C141">
        <v>140</v>
      </c>
      <c r="D141" t="s">
        <v>20</v>
      </c>
      <c r="E141">
        <v>21</v>
      </c>
      <c r="F141" s="6">
        <v>45286</v>
      </c>
      <c r="G141" s="6" t="str">
        <f>_xlfn.XLOOKUP(K:K,Products!B:B,Products!E:E," ")</f>
        <v>Home</v>
      </c>
      <c r="H141" s="6" t="str">
        <f>_xlfn.XLOOKUP(Orders!K:K,Products!B:B,Products!F:F," ")</f>
        <v>Furniture Model 1</v>
      </c>
      <c r="I141" s="6" t="str">
        <f>_xlfn.XLOOKUP(K:K,Products!B:B,Products!C:C," ")</f>
        <v>BrandD</v>
      </c>
      <c r="J141" s="8">
        <f>_xlfn.XLOOKUP(K:K,Products!B:B,Products!D:D," ")</f>
        <v>7.21</v>
      </c>
      <c r="K141">
        <v>9</v>
      </c>
      <c r="L141" t="s">
        <v>27</v>
      </c>
      <c r="M141" t="str">
        <f>_xlfn.XLOOKUP(K:K,Products!B:B,Products!A:A," ")</f>
        <v>Furniture</v>
      </c>
    </row>
    <row r="142" spans="1:13" x14ac:dyDescent="0.2">
      <c r="A142" t="s">
        <v>21</v>
      </c>
      <c r="B142">
        <v>390.5</v>
      </c>
      <c r="C142">
        <v>141</v>
      </c>
      <c r="D142" t="s">
        <v>20</v>
      </c>
      <c r="E142">
        <v>17</v>
      </c>
      <c r="F142" s="6">
        <v>45280</v>
      </c>
      <c r="G142" s="6" t="str">
        <f>_xlfn.XLOOKUP(K:K,Products!B:B,Products!E:E," ")</f>
        <v>Office</v>
      </c>
      <c r="H142" s="6" t="str">
        <f>_xlfn.XLOOKUP(Orders!K:K,Products!B:B,Products!F:F," ")</f>
        <v>Printers Model 2</v>
      </c>
      <c r="I142" s="6" t="str">
        <f>_xlfn.XLOOKUP(K:K,Products!B:B,Products!C:C," ")</f>
        <v>BrandA</v>
      </c>
      <c r="J142" s="8">
        <f>_xlfn.XLOOKUP(K:K,Products!B:B,Products!D:D," ")</f>
        <v>272.52</v>
      </c>
      <c r="K142">
        <v>24</v>
      </c>
      <c r="L142" t="s">
        <v>18</v>
      </c>
      <c r="M142" t="str">
        <f>_xlfn.XLOOKUP(K:K,Products!B:B,Products!A:A," ")</f>
        <v>Printers</v>
      </c>
    </row>
    <row r="143" spans="1:13" x14ac:dyDescent="0.2">
      <c r="A143" t="s">
        <v>19</v>
      </c>
      <c r="B143">
        <v>399.95</v>
      </c>
      <c r="C143">
        <v>142</v>
      </c>
      <c r="D143" t="s">
        <v>17</v>
      </c>
      <c r="E143">
        <v>47</v>
      </c>
      <c r="F143" s="6">
        <v>45024</v>
      </c>
      <c r="G143" s="6" t="str">
        <f>_xlfn.XLOOKUP(K:K,Products!B:B,Products!E:E," ")</f>
        <v>Sports</v>
      </c>
      <c r="H143" s="6" t="str">
        <f>_xlfn.XLOOKUP(Orders!K:K,Products!B:B,Products!F:F," ")</f>
        <v>Fitness Model 2</v>
      </c>
      <c r="I143" s="6" t="str">
        <f>_xlfn.XLOOKUP(K:K,Products!B:B,Products!C:C," ")</f>
        <v>BrandA</v>
      </c>
      <c r="J143" s="8">
        <f>_xlfn.XLOOKUP(K:K,Products!B:B,Products!D:D," ")</f>
        <v>63.68</v>
      </c>
      <c r="K143">
        <v>14</v>
      </c>
      <c r="L143" t="s">
        <v>29</v>
      </c>
      <c r="M143" t="str">
        <f>_xlfn.XLOOKUP(K:K,Products!B:B,Products!A:A," ")</f>
        <v>Fitness</v>
      </c>
    </row>
    <row r="144" spans="1:13" x14ac:dyDescent="0.2">
      <c r="A144" t="s">
        <v>19</v>
      </c>
      <c r="B144">
        <v>332</v>
      </c>
      <c r="C144">
        <v>143</v>
      </c>
      <c r="D144" t="s">
        <v>22</v>
      </c>
      <c r="E144">
        <v>22</v>
      </c>
      <c r="F144" s="6">
        <v>45045</v>
      </c>
      <c r="G144" s="6" t="str">
        <f>_xlfn.XLOOKUP(K:K,Products!B:B,Products!E:E," ")</f>
        <v>Electronics</v>
      </c>
      <c r="H144" s="6" t="str">
        <f>_xlfn.XLOOKUP(Orders!K:K,Products!B:B,Products!F:F," ")</f>
        <v>Smartphone Model 2</v>
      </c>
      <c r="I144" s="6" t="str">
        <f>_xlfn.XLOOKUP(K:K,Products!B:B,Products!C:C," ")</f>
        <v>BrandB</v>
      </c>
      <c r="J144" s="8">
        <f>_xlfn.XLOOKUP(K:K,Products!B:B,Products!D:D," ")</f>
        <v>43.27</v>
      </c>
      <c r="K144">
        <v>2</v>
      </c>
      <c r="L144" t="s">
        <v>29</v>
      </c>
      <c r="M144" t="str">
        <f>_xlfn.XLOOKUP(K:K,Products!B:B,Products!A:A," ")</f>
        <v>Smartphone</v>
      </c>
    </row>
    <row r="145" spans="1:13" x14ac:dyDescent="0.2">
      <c r="A145" t="s">
        <v>19</v>
      </c>
      <c r="B145">
        <v>394.03</v>
      </c>
      <c r="C145">
        <v>144</v>
      </c>
      <c r="D145" t="s">
        <v>24</v>
      </c>
      <c r="E145">
        <v>20</v>
      </c>
      <c r="F145" s="6">
        <v>45144</v>
      </c>
      <c r="G145" s="6" t="str">
        <f>_xlfn.XLOOKUP(K:K,Products!B:B,Products!E:E," ")</f>
        <v>Electronics</v>
      </c>
      <c r="H145" s="6" t="str">
        <f>_xlfn.XLOOKUP(Orders!K:K,Products!B:B,Products!F:F," ")</f>
        <v>Laptop Model 1</v>
      </c>
      <c r="I145" s="6" t="str">
        <f>_xlfn.XLOOKUP(K:K,Products!B:B,Products!C:C," ")</f>
        <v>BrandB</v>
      </c>
      <c r="J145" s="8">
        <f>_xlfn.XLOOKUP(K:K,Products!B:B,Products!D:D," ")</f>
        <v>251.46</v>
      </c>
      <c r="K145">
        <v>3</v>
      </c>
      <c r="L145" t="s">
        <v>28</v>
      </c>
      <c r="M145" t="str">
        <f>_xlfn.XLOOKUP(K:K,Products!B:B,Products!A:A," ")</f>
        <v>Laptop</v>
      </c>
    </row>
    <row r="146" spans="1:13" x14ac:dyDescent="0.2">
      <c r="A146" t="s">
        <v>25</v>
      </c>
      <c r="B146">
        <v>159.82</v>
      </c>
      <c r="C146">
        <v>145</v>
      </c>
      <c r="D146" t="s">
        <v>22</v>
      </c>
      <c r="E146">
        <v>34</v>
      </c>
      <c r="F146" s="6">
        <v>45174</v>
      </c>
      <c r="G146" s="6" t="str">
        <f>_xlfn.XLOOKUP(K:K,Products!B:B,Products!E:E," ")</f>
        <v>Home</v>
      </c>
      <c r="H146" s="6" t="str">
        <f>_xlfn.XLOOKUP(Orders!K:K,Products!B:B,Products!F:F," ")</f>
        <v>Cleaning Model 2</v>
      </c>
      <c r="I146" s="6" t="str">
        <f>_xlfn.XLOOKUP(K:K,Products!B:B,Products!C:C," ")</f>
        <v>BrandB</v>
      </c>
      <c r="J146" s="8">
        <f>_xlfn.XLOOKUP(K:K,Products!B:B,Products!D:D," ")</f>
        <v>209.52</v>
      </c>
      <c r="K146">
        <v>12</v>
      </c>
      <c r="L146" t="s">
        <v>29</v>
      </c>
      <c r="M146" t="str">
        <f>_xlfn.XLOOKUP(K:K,Products!B:B,Products!A:A," ")</f>
        <v>Cleaning</v>
      </c>
    </row>
    <row r="147" spans="1:13" x14ac:dyDescent="0.2">
      <c r="A147" t="s">
        <v>25</v>
      </c>
      <c r="B147">
        <v>479.46</v>
      </c>
      <c r="C147">
        <v>146</v>
      </c>
      <c r="D147" t="s">
        <v>24</v>
      </c>
      <c r="E147">
        <v>37</v>
      </c>
      <c r="F147" s="6">
        <v>44962</v>
      </c>
      <c r="G147" s="6" t="str">
        <f>_xlfn.XLOOKUP(K:K,Products!B:B,Products!E:E," ")</f>
        <v>Home</v>
      </c>
      <c r="H147" s="6" t="str">
        <f>_xlfn.XLOOKUP(Orders!K:K,Products!B:B,Products!F:F," ")</f>
        <v>Furniture Model 1</v>
      </c>
      <c r="I147" s="6" t="str">
        <f>_xlfn.XLOOKUP(K:K,Products!B:B,Products!C:C," ")</f>
        <v>BrandD</v>
      </c>
      <c r="J147" s="8">
        <f>_xlfn.XLOOKUP(K:K,Products!B:B,Products!D:D," ")</f>
        <v>7.21</v>
      </c>
      <c r="K147">
        <v>9</v>
      </c>
      <c r="L147" t="s">
        <v>29</v>
      </c>
      <c r="M147" t="str">
        <f>_xlfn.XLOOKUP(K:K,Products!B:B,Products!A:A," ")</f>
        <v>Furniture</v>
      </c>
    </row>
    <row r="148" spans="1:13" x14ac:dyDescent="0.2">
      <c r="A148" t="s">
        <v>25</v>
      </c>
      <c r="B148">
        <v>373.44</v>
      </c>
      <c r="C148">
        <v>147</v>
      </c>
      <c r="D148" t="s">
        <v>20</v>
      </c>
      <c r="E148">
        <v>9</v>
      </c>
      <c r="F148" s="6">
        <v>45222</v>
      </c>
      <c r="G148" s="6" t="str">
        <f>_xlfn.XLOOKUP(K:K,Products!B:B,Products!E:E," ")</f>
        <v>Home</v>
      </c>
      <c r="H148" s="6" t="str">
        <f>_xlfn.XLOOKUP(Orders!K:K,Products!B:B,Products!F:F," ")</f>
        <v>Cleaning Model 2</v>
      </c>
      <c r="I148" s="6" t="str">
        <f>_xlfn.XLOOKUP(K:K,Products!B:B,Products!C:C," ")</f>
        <v>BrandB</v>
      </c>
      <c r="J148" s="8">
        <f>_xlfn.XLOOKUP(K:K,Products!B:B,Products!D:D," ")</f>
        <v>209.52</v>
      </c>
      <c r="K148">
        <v>12</v>
      </c>
      <c r="L148" t="s">
        <v>27</v>
      </c>
      <c r="M148" t="str">
        <f>_xlfn.XLOOKUP(K:K,Products!B:B,Products!A:A," ")</f>
        <v>Cleaning</v>
      </c>
    </row>
    <row r="149" spans="1:13" x14ac:dyDescent="0.2">
      <c r="A149" t="s">
        <v>16</v>
      </c>
      <c r="B149">
        <v>431.79</v>
      </c>
      <c r="C149">
        <v>148</v>
      </c>
      <c r="D149" t="s">
        <v>20</v>
      </c>
      <c r="E149">
        <v>4</v>
      </c>
      <c r="F149" s="6">
        <v>45116</v>
      </c>
      <c r="G149" s="6" t="str">
        <f>_xlfn.XLOOKUP(K:K,Products!B:B,Products!E:E," ")</f>
        <v>Sports</v>
      </c>
      <c r="H149" s="6" t="str">
        <f>_xlfn.XLOOKUP(Orders!K:K,Products!B:B,Products!F:F," ")</f>
        <v>Outdoor Model 2</v>
      </c>
      <c r="I149" s="6" t="str">
        <f>_xlfn.XLOOKUP(K:K,Products!B:B,Products!C:C," ")</f>
        <v>BrandA</v>
      </c>
      <c r="J149" s="8">
        <f>_xlfn.XLOOKUP(K:K,Products!B:B,Products!D:D," ")</f>
        <v>21.27</v>
      </c>
      <c r="K149">
        <v>16</v>
      </c>
      <c r="L149" t="s">
        <v>23</v>
      </c>
      <c r="M149" t="str">
        <f>_xlfn.XLOOKUP(K:K,Products!B:B,Products!A:A," ")</f>
        <v>Outdoor</v>
      </c>
    </row>
    <row r="150" spans="1:13" x14ac:dyDescent="0.2">
      <c r="A150" t="s">
        <v>21</v>
      </c>
      <c r="B150">
        <v>451.23</v>
      </c>
      <c r="C150">
        <v>149</v>
      </c>
      <c r="D150" t="s">
        <v>24</v>
      </c>
      <c r="E150">
        <v>19</v>
      </c>
      <c r="F150" s="6">
        <v>45224</v>
      </c>
      <c r="G150" s="6" t="str">
        <f>_xlfn.XLOOKUP(K:K,Products!B:B,Products!E:E," ")</f>
        <v xml:space="preserve"> </v>
      </c>
      <c r="H150" s="6" t="str">
        <f>_xlfn.XLOOKUP(Orders!K:K,Products!B:B,Products!F:F," ")</f>
        <v xml:space="preserve"> </v>
      </c>
      <c r="I150" s="6" t="str">
        <f>_xlfn.XLOOKUP(K:K,Products!B:B,Products!C:C," ")</f>
        <v xml:space="preserve"> </v>
      </c>
      <c r="J150" s="8" t="str">
        <f>_xlfn.XLOOKUP(K:K,Products!B:B,Products!D:D," ")</f>
        <v xml:space="preserve"> </v>
      </c>
      <c r="K150">
        <v>30</v>
      </c>
      <c r="L150" t="s">
        <v>23</v>
      </c>
      <c r="M150" t="str">
        <f>_xlfn.XLOOKUP(K:K,Products!B:B,Products!A:A," ")</f>
        <v xml:space="preserve"> </v>
      </c>
    </row>
    <row r="151" spans="1:13" x14ac:dyDescent="0.2">
      <c r="A151" t="s">
        <v>19</v>
      </c>
      <c r="B151">
        <v>64.61</v>
      </c>
      <c r="C151">
        <v>150</v>
      </c>
      <c r="D151" t="s">
        <v>24</v>
      </c>
      <c r="E151">
        <v>19</v>
      </c>
      <c r="F151" s="6">
        <v>45069</v>
      </c>
      <c r="G151" s="6" t="str">
        <f>_xlfn.XLOOKUP(K:K,Products!B:B,Products!E:E," ")</f>
        <v>Home</v>
      </c>
      <c r="H151" s="6" t="str">
        <f>_xlfn.XLOOKUP(Orders!K:K,Products!B:B,Products!F:F," ")</f>
        <v>Kitchen Model 2</v>
      </c>
      <c r="I151" s="6" t="str">
        <f>_xlfn.XLOOKUP(K:K,Products!B:B,Products!C:C," ")</f>
        <v>BrandC</v>
      </c>
      <c r="J151" s="8">
        <f>_xlfn.XLOOKUP(K:K,Products!B:B,Products!D:D," ")</f>
        <v>163.13999999999999</v>
      </c>
      <c r="K151">
        <v>8</v>
      </c>
      <c r="L151" t="s">
        <v>23</v>
      </c>
      <c r="M151" t="str">
        <f>_xlfn.XLOOKUP(K:K,Products!B:B,Products!A:A," ")</f>
        <v>Kitchen</v>
      </c>
    </row>
    <row r="152" spans="1:13" x14ac:dyDescent="0.2">
      <c r="A152" t="s">
        <v>25</v>
      </c>
      <c r="B152">
        <v>138.86000000000001</v>
      </c>
      <c r="C152">
        <v>151</v>
      </c>
      <c r="D152" t="s">
        <v>24</v>
      </c>
      <c r="E152">
        <v>26</v>
      </c>
      <c r="F152" s="6">
        <v>45110</v>
      </c>
      <c r="G152" s="6" t="str">
        <f>_xlfn.XLOOKUP(K:K,Products!B:B,Products!E:E," ")</f>
        <v>Office</v>
      </c>
      <c r="H152" s="6" t="str">
        <f>_xlfn.XLOOKUP(Orders!K:K,Products!B:B,Products!F:F," ")</f>
        <v>Office Furniture Model 2</v>
      </c>
      <c r="I152" s="6" t="str">
        <f>_xlfn.XLOOKUP(K:K,Products!B:B,Products!C:C," ")</f>
        <v>BrandA</v>
      </c>
      <c r="J152" s="8">
        <f>_xlfn.XLOOKUP(K:K,Products!B:B,Products!D:D," ")</f>
        <v>59.72</v>
      </c>
      <c r="K152">
        <v>22</v>
      </c>
      <c r="L152" t="s">
        <v>29</v>
      </c>
      <c r="M152" t="str">
        <f>_xlfn.XLOOKUP(K:K,Products!B:B,Products!A:A," ")</f>
        <v>Office Furniture</v>
      </c>
    </row>
    <row r="153" spans="1:13" x14ac:dyDescent="0.2">
      <c r="A153" t="s">
        <v>16</v>
      </c>
      <c r="B153">
        <v>246.29</v>
      </c>
      <c r="C153">
        <v>152</v>
      </c>
      <c r="D153" t="s">
        <v>22</v>
      </c>
      <c r="E153">
        <v>25</v>
      </c>
      <c r="F153" s="6">
        <v>45278</v>
      </c>
      <c r="G153" s="6" t="str">
        <f>_xlfn.XLOOKUP(K:K,Products!B:B,Products!E:E," ")</f>
        <v xml:space="preserve"> </v>
      </c>
      <c r="H153" s="6" t="str">
        <f>_xlfn.XLOOKUP(Orders!K:K,Products!B:B,Products!F:F," ")</f>
        <v xml:space="preserve"> </v>
      </c>
      <c r="I153" s="6" t="str">
        <f>_xlfn.XLOOKUP(K:K,Products!B:B,Products!C:C," ")</f>
        <v xml:space="preserve"> </v>
      </c>
      <c r="J153" s="8" t="str">
        <f>_xlfn.XLOOKUP(K:K,Products!B:B,Products!D:D," ")</f>
        <v xml:space="preserve"> </v>
      </c>
      <c r="K153">
        <v>25</v>
      </c>
      <c r="L153" t="s">
        <v>27</v>
      </c>
      <c r="M153" t="str">
        <f>_xlfn.XLOOKUP(K:K,Products!B:B,Products!A:A," ")</f>
        <v xml:space="preserve"> </v>
      </c>
    </row>
    <row r="154" spans="1:13" x14ac:dyDescent="0.2">
      <c r="A154" t="s">
        <v>16</v>
      </c>
      <c r="B154">
        <v>460.13</v>
      </c>
      <c r="C154">
        <v>153</v>
      </c>
      <c r="D154" t="s">
        <v>17</v>
      </c>
      <c r="E154">
        <v>22</v>
      </c>
      <c r="F154" s="6">
        <v>45008</v>
      </c>
      <c r="G154" s="6" t="str">
        <f>_xlfn.XLOOKUP(K:K,Products!B:B,Products!E:E," ")</f>
        <v>Sports</v>
      </c>
      <c r="H154" s="6" t="str">
        <f>_xlfn.XLOOKUP(Orders!K:K,Products!B:B,Products!F:F," ")</f>
        <v>Clothing Model 1</v>
      </c>
      <c r="I154" s="6" t="str">
        <f>_xlfn.XLOOKUP(K:K,Products!B:B,Products!C:C," ")</f>
        <v>BrandD</v>
      </c>
      <c r="J154" s="8">
        <f>_xlfn.XLOOKUP(K:K,Products!B:B,Products!D:D," ")</f>
        <v>111.57</v>
      </c>
      <c r="K154">
        <v>17</v>
      </c>
      <c r="L154" t="s">
        <v>29</v>
      </c>
      <c r="M154" t="str">
        <f>_xlfn.XLOOKUP(K:K,Products!B:B,Products!A:A," ")</f>
        <v>Clothing</v>
      </c>
    </row>
    <row r="155" spans="1:13" x14ac:dyDescent="0.2">
      <c r="A155" t="s">
        <v>16</v>
      </c>
      <c r="B155">
        <v>465.57</v>
      </c>
      <c r="C155">
        <v>154</v>
      </c>
      <c r="D155" t="s">
        <v>22</v>
      </c>
      <c r="E155">
        <v>35</v>
      </c>
      <c r="F155" s="6">
        <v>44927</v>
      </c>
      <c r="G155" s="6" t="str">
        <f>_xlfn.XLOOKUP(K:K,Products!B:B,Products!E:E," ")</f>
        <v xml:space="preserve"> </v>
      </c>
      <c r="H155" s="6" t="str">
        <f>_xlfn.XLOOKUP(Orders!K:K,Products!B:B,Products!F:F," ")</f>
        <v xml:space="preserve"> </v>
      </c>
      <c r="I155" s="6" t="str">
        <f>_xlfn.XLOOKUP(K:K,Products!B:B,Products!C:C," ")</f>
        <v xml:space="preserve"> </v>
      </c>
      <c r="J155" s="8" t="str">
        <f>_xlfn.XLOOKUP(K:K,Products!B:B,Products!D:D," ")</f>
        <v xml:space="preserve"> </v>
      </c>
      <c r="K155">
        <v>25</v>
      </c>
      <c r="L155" t="s">
        <v>18</v>
      </c>
      <c r="M155" t="str">
        <f>_xlfn.XLOOKUP(K:K,Products!B:B,Products!A:A," ")</f>
        <v xml:space="preserve"> </v>
      </c>
    </row>
    <row r="156" spans="1:13" x14ac:dyDescent="0.2">
      <c r="A156" t="s">
        <v>25</v>
      </c>
      <c r="B156">
        <v>34.270000000000003</v>
      </c>
      <c r="C156">
        <v>155</v>
      </c>
      <c r="D156" t="s">
        <v>17</v>
      </c>
      <c r="E156">
        <v>13</v>
      </c>
      <c r="F156" s="6">
        <v>44958</v>
      </c>
      <c r="G156" s="6" t="str">
        <f>_xlfn.XLOOKUP(K:K,Products!B:B,Products!E:E," ")</f>
        <v>Home</v>
      </c>
      <c r="H156" s="6" t="str">
        <f>_xlfn.XLOOKUP(Orders!K:K,Products!B:B,Products!F:F," ")</f>
        <v>Furniture Model 2</v>
      </c>
      <c r="I156" s="6" t="str">
        <f>_xlfn.XLOOKUP(K:K,Products!B:B,Products!C:C," ")</f>
        <v>BrandD</v>
      </c>
      <c r="J156" s="8">
        <f>_xlfn.XLOOKUP(K:K,Products!B:B,Products!D:D," ")</f>
        <v>3.75</v>
      </c>
      <c r="K156">
        <v>10</v>
      </c>
      <c r="L156" t="s">
        <v>18</v>
      </c>
      <c r="M156" t="str">
        <f>_xlfn.XLOOKUP(K:K,Products!B:B,Products!A:A," ")</f>
        <v>Furniture</v>
      </c>
    </row>
    <row r="157" spans="1:13" x14ac:dyDescent="0.2">
      <c r="A157" t="s">
        <v>16</v>
      </c>
      <c r="B157">
        <v>354.58</v>
      </c>
      <c r="C157">
        <v>156</v>
      </c>
      <c r="D157" t="s">
        <v>20</v>
      </c>
      <c r="E157">
        <v>22</v>
      </c>
      <c r="F157" s="6">
        <v>44930</v>
      </c>
      <c r="G157" s="6" t="str">
        <f>_xlfn.XLOOKUP(K:K,Products!B:B,Products!E:E," ")</f>
        <v>Home</v>
      </c>
      <c r="H157" s="6" t="str">
        <f>_xlfn.XLOOKUP(Orders!K:K,Products!B:B,Products!F:F," ")</f>
        <v>Kitchen Model 2</v>
      </c>
      <c r="I157" s="6" t="str">
        <f>_xlfn.XLOOKUP(K:K,Products!B:B,Products!C:C," ")</f>
        <v>BrandC</v>
      </c>
      <c r="J157" s="8">
        <f>_xlfn.XLOOKUP(K:K,Products!B:B,Products!D:D," ")</f>
        <v>163.13999999999999</v>
      </c>
      <c r="K157">
        <v>8</v>
      </c>
      <c r="L157" t="s">
        <v>29</v>
      </c>
      <c r="M157" t="str">
        <f>_xlfn.XLOOKUP(K:K,Products!B:B,Products!A:A," ")</f>
        <v>Kitchen</v>
      </c>
    </row>
    <row r="158" spans="1:13" x14ac:dyDescent="0.2">
      <c r="A158" t="s">
        <v>16</v>
      </c>
      <c r="B158">
        <v>410.1</v>
      </c>
      <c r="C158">
        <v>157</v>
      </c>
      <c r="D158" t="s">
        <v>17</v>
      </c>
      <c r="E158">
        <v>18</v>
      </c>
      <c r="F158" s="6">
        <v>45172</v>
      </c>
      <c r="G158" s="6" t="str">
        <f>_xlfn.XLOOKUP(K:K,Products!B:B,Products!E:E," ")</f>
        <v>Electronics</v>
      </c>
      <c r="H158" s="6" t="str">
        <f>_xlfn.XLOOKUP(Orders!K:K,Products!B:B,Products!F:F," ")</f>
        <v>Tablet Model 1</v>
      </c>
      <c r="I158" s="6" t="str">
        <f>_xlfn.XLOOKUP(K:K,Products!B:B,Products!C:C," ")</f>
        <v>BrandD</v>
      </c>
      <c r="J158" s="8">
        <f>_xlfn.XLOOKUP(K:K,Products!B:B,Products!D:D," ")</f>
        <v>55.43</v>
      </c>
      <c r="K158">
        <v>5</v>
      </c>
      <c r="L158" t="s">
        <v>28</v>
      </c>
      <c r="M158" t="str">
        <f>_xlfn.XLOOKUP(K:K,Products!B:B,Products!A:A," ")</f>
        <v>Tablet</v>
      </c>
    </row>
    <row r="159" spans="1:13" x14ac:dyDescent="0.2">
      <c r="A159" t="s">
        <v>19</v>
      </c>
      <c r="B159">
        <v>293.14999999999998</v>
      </c>
      <c r="C159">
        <v>158</v>
      </c>
      <c r="D159" t="s">
        <v>22</v>
      </c>
      <c r="E159">
        <v>29</v>
      </c>
      <c r="F159" s="6">
        <v>44959</v>
      </c>
      <c r="G159" s="6" t="str">
        <f>_xlfn.XLOOKUP(K:K,Products!B:B,Products!E:E," ")</f>
        <v>Sports</v>
      </c>
      <c r="H159" s="6" t="str">
        <f>_xlfn.XLOOKUP(Orders!K:K,Products!B:B,Products!F:F," ")</f>
        <v>Fitness Model 2</v>
      </c>
      <c r="I159" s="6" t="str">
        <f>_xlfn.XLOOKUP(K:K,Products!B:B,Products!C:C," ")</f>
        <v>BrandA</v>
      </c>
      <c r="J159" s="8">
        <f>_xlfn.XLOOKUP(K:K,Products!B:B,Products!D:D," ")</f>
        <v>63.68</v>
      </c>
      <c r="K159">
        <v>14</v>
      </c>
      <c r="L159" t="s">
        <v>26</v>
      </c>
      <c r="M159" t="str">
        <f>_xlfn.XLOOKUP(K:K,Products!B:B,Products!A:A," ")</f>
        <v>Fitness</v>
      </c>
    </row>
    <row r="160" spans="1:13" x14ac:dyDescent="0.2">
      <c r="A160" t="s">
        <v>21</v>
      </c>
      <c r="B160">
        <v>386.25</v>
      </c>
      <c r="C160">
        <v>159</v>
      </c>
      <c r="D160" t="s">
        <v>17</v>
      </c>
      <c r="E160">
        <v>17</v>
      </c>
      <c r="F160" s="6">
        <v>45275</v>
      </c>
      <c r="G160" s="6" t="str">
        <f>_xlfn.XLOOKUP(K:K,Products!B:B,Products!E:E," ")</f>
        <v>Sports</v>
      </c>
      <c r="H160" s="6" t="str">
        <f>_xlfn.XLOOKUP(Orders!K:K,Products!B:B,Products!F:F," ")</f>
        <v>Fitness Model 1</v>
      </c>
      <c r="I160" s="6" t="str">
        <f>_xlfn.XLOOKUP(K:K,Products!B:B,Products!C:C," ")</f>
        <v>BrandB</v>
      </c>
      <c r="J160" s="8">
        <f>_xlfn.XLOOKUP(K:K,Products!B:B,Products!D:D," ")</f>
        <v>227.4</v>
      </c>
      <c r="K160">
        <v>13</v>
      </c>
      <c r="L160" t="s">
        <v>27</v>
      </c>
      <c r="M160" t="str">
        <f>_xlfn.XLOOKUP(K:K,Products!B:B,Products!A:A," ")</f>
        <v>Fitness</v>
      </c>
    </row>
    <row r="161" spans="1:13" x14ac:dyDescent="0.2">
      <c r="A161" t="s">
        <v>19</v>
      </c>
      <c r="B161">
        <v>391.17</v>
      </c>
      <c r="C161">
        <v>160</v>
      </c>
      <c r="D161" t="s">
        <v>20</v>
      </c>
      <c r="E161">
        <v>23</v>
      </c>
      <c r="F161" s="6">
        <v>44963</v>
      </c>
      <c r="G161" s="6" t="str">
        <f>_xlfn.XLOOKUP(K:K,Products!B:B,Products!E:E," ")</f>
        <v>Office</v>
      </c>
      <c r="H161" s="6" t="str">
        <f>_xlfn.XLOOKUP(Orders!K:K,Products!B:B,Products!F:F," ")</f>
        <v>Stationery Model 2</v>
      </c>
      <c r="I161" s="6" t="str">
        <f>_xlfn.XLOOKUP(K:K,Products!B:B,Products!C:C," ")</f>
        <v>BrandC</v>
      </c>
      <c r="J161" s="8">
        <f>_xlfn.XLOOKUP(K:K,Products!B:B,Products!D:D," ")</f>
        <v>170.2</v>
      </c>
      <c r="K161">
        <v>20</v>
      </c>
      <c r="L161" t="s">
        <v>29</v>
      </c>
      <c r="M161" t="str">
        <f>_xlfn.XLOOKUP(K:K,Products!B:B,Products!A:A," ")</f>
        <v>Stationery</v>
      </c>
    </row>
    <row r="162" spans="1:13" x14ac:dyDescent="0.2">
      <c r="A162" t="s">
        <v>21</v>
      </c>
      <c r="B162">
        <v>276.5</v>
      </c>
      <c r="C162">
        <v>161</v>
      </c>
      <c r="D162" t="s">
        <v>22</v>
      </c>
      <c r="E162">
        <v>13</v>
      </c>
      <c r="F162" s="6">
        <v>44966</v>
      </c>
      <c r="G162" s="6" t="str">
        <f>_xlfn.XLOOKUP(K:K,Products!B:B,Products!E:E," ")</f>
        <v xml:space="preserve"> </v>
      </c>
      <c r="H162" s="6" t="str">
        <f>_xlfn.XLOOKUP(Orders!K:K,Products!B:B,Products!F:F," ")</f>
        <v xml:space="preserve"> </v>
      </c>
      <c r="I162" s="6" t="str">
        <f>_xlfn.XLOOKUP(K:K,Products!B:B,Products!C:C," ")</f>
        <v xml:space="preserve"> </v>
      </c>
      <c r="J162" s="8" t="str">
        <f>_xlfn.XLOOKUP(K:K,Products!B:B,Products!D:D," ")</f>
        <v xml:space="preserve"> </v>
      </c>
      <c r="K162">
        <v>26</v>
      </c>
      <c r="L162" t="s">
        <v>23</v>
      </c>
      <c r="M162" t="str">
        <f>_xlfn.XLOOKUP(K:K,Products!B:B,Products!A:A," ")</f>
        <v xml:space="preserve"> </v>
      </c>
    </row>
    <row r="163" spans="1:13" x14ac:dyDescent="0.2">
      <c r="A163" t="s">
        <v>25</v>
      </c>
      <c r="B163">
        <v>207.46</v>
      </c>
      <c r="C163">
        <v>162</v>
      </c>
      <c r="D163" t="s">
        <v>22</v>
      </c>
      <c r="E163">
        <v>8</v>
      </c>
      <c r="F163" s="6">
        <v>45237</v>
      </c>
      <c r="G163" s="6" t="str">
        <f>_xlfn.XLOOKUP(K:K,Products!B:B,Products!E:E," ")</f>
        <v xml:space="preserve"> </v>
      </c>
      <c r="H163" s="6" t="str">
        <f>_xlfn.XLOOKUP(Orders!K:K,Products!B:B,Products!F:F," ")</f>
        <v xml:space="preserve"> </v>
      </c>
      <c r="I163" s="6" t="str">
        <f>_xlfn.XLOOKUP(K:K,Products!B:B,Products!C:C," ")</f>
        <v xml:space="preserve"> </v>
      </c>
      <c r="J163" s="8" t="str">
        <f>_xlfn.XLOOKUP(K:K,Products!B:B,Products!D:D," ")</f>
        <v xml:space="preserve"> </v>
      </c>
      <c r="K163">
        <v>28</v>
      </c>
      <c r="L163" t="s">
        <v>27</v>
      </c>
      <c r="M163" t="str">
        <f>_xlfn.XLOOKUP(K:K,Products!B:B,Products!A:A," ")</f>
        <v xml:space="preserve"> </v>
      </c>
    </row>
    <row r="164" spans="1:13" x14ac:dyDescent="0.2">
      <c r="A164" t="s">
        <v>25</v>
      </c>
      <c r="B164">
        <v>367.66</v>
      </c>
      <c r="C164">
        <v>163</v>
      </c>
      <c r="D164" t="s">
        <v>20</v>
      </c>
      <c r="E164">
        <v>4</v>
      </c>
      <c r="F164" s="6">
        <v>45261</v>
      </c>
      <c r="G164" s="6" t="str">
        <f>_xlfn.XLOOKUP(K:K,Products!B:B,Products!E:E," ")</f>
        <v xml:space="preserve"> </v>
      </c>
      <c r="H164" s="6" t="str">
        <f>_xlfn.XLOOKUP(Orders!K:K,Products!B:B,Products!F:F," ")</f>
        <v xml:space="preserve"> </v>
      </c>
      <c r="I164" s="6" t="str">
        <f>_xlfn.XLOOKUP(K:K,Products!B:B,Products!C:C," ")</f>
        <v xml:space="preserve"> </v>
      </c>
      <c r="J164" s="8" t="str">
        <f>_xlfn.XLOOKUP(K:K,Products!B:B,Products!D:D," ")</f>
        <v xml:space="preserve"> </v>
      </c>
      <c r="K164">
        <v>26</v>
      </c>
      <c r="L164" t="s">
        <v>27</v>
      </c>
      <c r="M164" t="str">
        <f>_xlfn.XLOOKUP(K:K,Products!B:B,Products!A:A," ")</f>
        <v xml:space="preserve"> </v>
      </c>
    </row>
    <row r="165" spans="1:13" x14ac:dyDescent="0.2">
      <c r="A165" t="s">
        <v>16</v>
      </c>
      <c r="B165">
        <v>164.42</v>
      </c>
      <c r="C165">
        <v>164</v>
      </c>
      <c r="D165" t="s">
        <v>17</v>
      </c>
      <c r="E165">
        <v>38</v>
      </c>
      <c r="F165" s="6">
        <v>45013</v>
      </c>
      <c r="G165" s="6" t="str">
        <f>_xlfn.XLOOKUP(K:K,Products!B:B,Products!E:E," ")</f>
        <v xml:space="preserve"> </v>
      </c>
      <c r="H165" s="6" t="str">
        <f>_xlfn.XLOOKUP(Orders!K:K,Products!B:B,Products!F:F," ")</f>
        <v xml:space="preserve"> </v>
      </c>
      <c r="I165" s="6" t="str">
        <f>_xlfn.XLOOKUP(K:K,Products!B:B,Products!C:C," ")</f>
        <v xml:space="preserve"> </v>
      </c>
      <c r="J165" s="8" t="str">
        <f>_xlfn.XLOOKUP(K:K,Products!B:B,Products!D:D," ")</f>
        <v xml:space="preserve"> </v>
      </c>
      <c r="K165">
        <v>25</v>
      </c>
      <c r="L165" t="s">
        <v>28</v>
      </c>
      <c r="M165" t="str">
        <f>_xlfn.XLOOKUP(K:K,Products!B:B,Products!A:A," ")</f>
        <v xml:space="preserve"> </v>
      </c>
    </row>
    <row r="166" spans="1:13" x14ac:dyDescent="0.2">
      <c r="A166" t="s">
        <v>25</v>
      </c>
      <c r="B166">
        <v>148.21</v>
      </c>
      <c r="C166">
        <v>165</v>
      </c>
      <c r="D166" t="s">
        <v>20</v>
      </c>
      <c r="E166">
        <v>31</v>
      </c>
      <c r="F166" s="6">
        <v>45026</v>
      </c>
      <c r="G166" s="6" t="str">
        <f>_xlfn.XLOOKUP(K:K,Products!B:B,Products!E:E," ")</f>
        <v>Office</v>
      </c>
      <c r="H166" s="6" t="str">
        <f>_xlfn.XLOOKUP(Orders!K:K,Products!B:B,Products!F:F," ")</f>
        <v>Printers Model 1</v>
      </c>
      <c r="I166" s="6" t="str">
        <f>_xlfn.XLOOKUP(K:K,Products!B:B,Products!C:C," ")</f>
        <v>BrandA</v>
      </c>
      <c r="J166" s="8">
        <f>_xlfn.XLOOKUP(K:K,Products!B:B,Products!D:D," ")</f>
        <v>36.47</v>
      </c>
      <c r="K166">
        <v>23</v>
      </c>
      <c r="L166" t="s">
        <v>18</v>
      </c>
      <c r="M166" t="str">
        <f>_xlfn.XLOOKUP(K:K,Products!B:B,Products!A:A," ")</f>
        <v>Printers</v>
      </c>
    </row>
    <row r="167" spans="1:13" x14ac:dyDescent="0.2">
      <c r="A167" t="s">
        <v>21</v>
      </c>
      <c r="B167">
        <v>355.51</v>
      </c>
      <c r="C167">
        <v>166</v>
      </c>
      <c r="D167" t="s">
        <v>17</v>
      </c>
      <c r="E167">
        <v>6</v>
      </c>
      <c r="F167" s="6">
        <v>44947</v>
      </c>
      <c r="G167" s="6" t="str">
        <f>_xlfn.XLOOKUP(K:K,Products!B:B,Products!E:E," ")</f>
        <v>Home</v>
      </c>
      <c r="H167" s="6" t="str">
        <f>_xlfn.XLOOKUP(Orders!K:K,Products!B:B,Products!F:F," ")</f>
        <v>Kitchen Model 1</v>
      </c>
      <c r="I167" s="6" t="str">
        <f>_xlfn.XLOOKUP(K:K,Products!B:B,Products!C:C," ")</f>
        <v>BrandB</v>
      </c>
      <c r="J167" s="8">
        <f>_xlfn.XLOOKUP(K:K,Products!B:B,Products!D:D," ")</f>
        <v>27.76</v>
      </c>
      <c r="K167">
        <v>7</v>
      </c>
      <c r="L167" t="s">
        <v>23</v>
      </c>
      <c r="M167" t="str">
        <f>_xlfn.XLOOKUP(K:K,Products!B:B,Products!A:A," ")</f>
        <v>Kitchen</v>
      </c>
    </row>
    <row r="168" spans="1:13" x14ac:dyDescent="0.2">
      <c r="A168" t="s">
        <v>19</v>
      </c>
      <c r="B168">
        <v>116.6</v>
      </c>
      <c r="C168">
        <v>167</v>
      </c>
      <c r="D168" t="s">
        <v>24</v>
      </c>
      <c r="E168">
        <v>9</v>
      </c>
      <c r="F168" s="6">
        <v>44998</v>
      </c>
      <c r="G168" s="6" t="str">
        <f>_xlfn.XLOOKUP(K:K,Products!B:B,Products!E:E," ")</f>
        <v>Office</v>
      </c>
      <c r="H168" s="6" t="str">
        <f>_xlfn.XLOOKUP(Orders!K:K,Products!B:B,Products!F:F," ")</f>
        <v>Stationery Model 1</v>
      </c>
      <c r="I168" s="6" t="str">
        <f>_xlfn.XLOOKUP(K:K,Products!B:B,Products!C:C," ")</f>
        <v>BrandB</v>
      </c>
      <c r="J168" s="8">
        <f>_xlfn.XLOOKUP(K:K,Products!B:B,Products!D:D," ")</f>
        <v>73</v>
      </c>
      <c r="K168">
        <v>19</v>
      </c>
      <c r="L168" t="s">
        <v>28</v>
      </c>
      <c r="M168" t="str">
        <f>_xlfn.XLOOKUP(K:K,Products!B:B,Products!A:A," ")</f>
        <v>Stationery</v>
      </c>
    </row>
    <row r="169" spans="1:13" x14ac:dyDescent="0.2">
      <c r="A169" t="s">
        <v>19</v>
      </c>
      <c r="B169">
        <v>262.25</v>
      </c>
      <c r="C169">
        <v>168</v>
      </c>
      <c r="D169" t="s">
        <v>17</v>
      </c>
      <c r="E169">
        <v>25</v>
      </c>
      <c r="F169" s="6">
        <v>45023</v>
      </c>
      <c r="G169" s="6" t="str">
        <f>_xlfn.XLOOKUP(K:K,Products!B:B,Products!E:E," ")</f>
        <v>Electronics</v>
      </c>
      <c r="H169" s="6" t="str">
        <f>_xlfn.XLOOKUP(Orders!K:K,Products!B:B,Products!F:F," ")</f>
        <v>Smartphone Model 2</v>
      </c>
      <c r="I169" s="6" t="str">
        <f>_xlfn.XLOOKUP(K:K,Products!B:B,Products!C:C," ")</f>
        <v>BrandB</v>
      </c>
      <c r="J169" s="8">
        <f>_xlfn.XLOOKUP(K:K,Products!B:B,Products!D:D," ")</f>
        <v>43.27</v>
      </c>
      <c r="K169">
        <v>2</v>
      </c>
      <c r="L169" t="s">
        <v>26</v>
      </c>
      <c r="M169" t="str">
        <f>_xlfn.XLOOKUP(K:K,Products!B:B,Products!A:A," ")</f>
        <v>Smartphone</v>
      </c>
    </row>
    <row r="170" spans="1:13" x14ac:dyDescent="0.2">
      <c r="A170" t="s">
        <v>16</v>
      </c>
      <c r="B170">
        <v>476.36</v>
      </c>
      <c r="C170">
        <v>169</v>
      </c>
      <c r="D170" t="s">
        <v>17</v>
      </c>
      <c r="E170">
        <v>10</v>
      </c>
      <c r="F170" s="6">
        <v>45143</v>
      </c>
      <c r="G170" s="6" t="str">
        <f>_xlfn.XLOOKUP(K:K,Products!B:B,Products!E:E," ")</f>
        <v xml:space="preserve"> </v>
      </c>
      <c r="H170" s="6" t="str">
        <f>_xlfn.XLOOKUP(Orders!K:K,Products!B:B,Products!F:F," ")</f>
        <v xml:space="preserve"> </v>
      </c>
      <c r="I170" s="6" t="str">
        <f>_xlfn.XLOOKUP(K:K,Products!B:B,Products!C:C," ")</f>
        <v xml:space="preserve"> </v>
      </c>
      <c r="J170" s="8" t="str">
        <f>_xlfn.XLOOKUP(K:K,Products!B:B,Products!D:D," ")</f>
        <v xml:space="preserve"> </v>
      </c>
      <c r="K170">
        <v>30</v>
      </c>
      <c r="L170" t="s">
        <v>27</v>
      </c>
      <c r="M170" t="str">
        <f>_xlfn.XLOOKUP(K:K,Products!B:B,Products!A:A," ")</f>
        <v xml:space="preserve"> </v>
      </c>
    </row>
    <row r="171" spans="1:13" x14ac:dyDescent="0.2">
      <c r="A171" t="s">
        <v>25</v>
      </c>
      <c r="B171">
        <v>30.79</v>
      </c>
      <c r="C171">
        <v>170</v>
      </c>
      <c r="D171" t="s">
        <v>20</v>
      </c>
      <c r="E171">
        <v>30</v>
      </c>
      <c r="F171" s="6">
        <v>45250</v>
      </c>
      <c r="G171" s="6" t="str">
        <f>_xlfn.XLOOKUP(K:K,Products!B:B,Products!E:E," ")</f>
        <v>Electronics</v>
      </c>
      <c r="H171" s="6" t="str">
        <f>_xlfn.XLOOKUP(Orders!K:K,Products!B:B,Products!F:F," ")</f>
        <v>Tablet Model 1</v>
      </c>
      <c r="I171" s="6" t="str">
        <f>_xlfn.XLOOKUP(K:K,Products!B:B,Products!C:C," ")</f>
        <v>BrandD</v>
      </c>
      <c r="J171" s="8">
        <f>_xlfn.XLOOKUP(K:K,Products!B:B,Products!D:D," ")</f>
        <v>55.43</v>
      </c>
      <c r="K171">
        <v>5</v>
      </c>
      <c r="L171" t="s">
        <v>28</v>
      </c>
      <c r="M171" t="str">
        <f>_xlfn.XLOOKUP(K:K,Products!B:B,Products!A:A," ")</f>
        <v>Tablet</v>
      </c>
    </row>
    <row r="172" spans="1:13" x14ac:dyDescent="0.2">
      <c r="A172" t="s">
        <v>21</v>
      </c>
      <c r="B172">
        <v>401.75</v>
      </c>
      <c r="C172">
        <v>171</v>
      </c>
      <c r="D172" t="s">
        <v>24</v>
      </c>
      <c r="E172">
        <v>35</v>
      </c>
      <c r="F172" s="6">
        <v>45284</v>
      </c>
      <c r="G172" s="6" t="str">
        <f>_xlfn.XLOOKUP(K:K,Products!B:B,Products!E:E," ")</f>
        <v>Electronics</v>
      </c>
      <c r="H172" s="6" t="str">
        <f>_xlfn.XLOOKUP(Orders!K:K,Products!B:B,Products!F:F," ")</f>
        <v>Smartphone Model 1</v>
      </c>
      <c r="I172" s="6" t="str">
        <f>_xlfn.XLOOKUP(K:K,Products!B:B,Products!C:C," ")</f>
        <v>BrandC</v>
      </c>
      <c r="J172" s="8">
        <f>_xlfn.XLOOKUP(K:K,Products!B:B,Products!D:D," ")</f>
        <v>285.64999999999998</v>
      </c>
      <c r="K172">
        <v>1</v>
      </c>
      <c r="L172" t="s">
        <v>28</v>
      </c>
      <c r="M172" t="str">
        <f>_xlfn.XLOOKUP(K:K,Products!B:B,Products!A:A," ")</f>
        <v>Smartphone</v>
      </c>
    </row>
    <row r="173" spans="1:13" x14ac:dyDescent="0.2">
      <c r="A173" t="s">
        <v>21</v>
      </c>
      <c r="B173">
        <v>259.69</v>
      </c>
      <c r="C173">
        <v>172</v>
      </c>
      <c r="D173" t="s">
        <v>17</v>
      </c>
      <c r="E173">
        <v>21</v>
      </c>
      <c r="F173" s="6">
        <v>45086</v>
      </c>
      <c r="G173" s="6" t="str">
        <f>_xlfn.XLOOKUP(K:K,Products!B:B,Products!E:E," ")</f>
        <v xml:space="preserve"> </v>
      </c>
      <c r="H173" s="6" t="str">
        <f>_xlfn.XLOOKUP(Orders!K:K,Products!B:B,Products!F:F," ")</f>
        <v xml:space="preserve"> </v>
      </c>
      <c r="I173" s="6" t="str">
        <f>_xlfn.XLOOKUP(K:K,Products!B:B,Products!C:C," ")</f>
        <v xml:space="preserve"> </v>
      </c>
      <c r="J173" s="8" t="str">
        <f>_xlfn.XLOOKUP(K:K,Products!B:B,Products!D:D," ")</f>
        <v xml:space="preserve"> </v>
      </c>
      <c r="K173">
        <v>26</v>
      </c>
      <c r="L173" t="s">
        <v>18</v>
      </c>
      <c r="M173" t="str">
        <f>_xlfn.XLOOKUP(K:K,Products!B:B,Products!A:A," ")</f>
        <v xml:space="preserve"> </v>
      </c>
    </row>
    <row r="174" spans="1:13" x14ac:dyDescent="0.2">
      <c r="A174" t="s">
        <v>16</v>
      </c>
      <c r="B174">
        <v>320.47000000000003</v>
      </c>
      <c r="C174">
        <v>173</v>
      </c>
      <c r="D174" t="s">
        <v>20</v>
      </c>
      <c r="E174">
        <v>5</v>
      </c>
      <c r="F174" s="6">
        <v>45057</v>
      </c>
      <c r="G174" s="6" t="str">
        <f>_xlfn.XLOOKUP(K:K,Products!B:B,Products!E:E," ")</f>
        <v xml:space="preserve"> </v>
      </c>
      <c r="H174" s="6" t="str">
        <f>_xlfn.XLOOKUP(Orders!K:K,Products!B:B,Products!F:F," ")</f>
        <v xml:space="preserve"> </v>
      </c>
      <c r="I174" s="6" t="str">
        <f>_xlfn.XLOOKUP(K:K,Products!B:B,Products!C:C," ")</f>
        <v xml:space="preserve"> </v>
      </c>
      <c r="J174" s="8" t="str">
        <f>_xlfn.XLOOKUP(K:K,Products!B:B,Products!D:D," ")</f>
        <v xml:space="preserve"> </v>
      </c>
      <c r="K174">
        <v>28</v>
      </c>
      <c r="L174" t="s">
        <v>26</v>
      </c>
      <c r="M174" t="str">
        <f>_xlfn.XLOOKUP(K:K,Products!B:B,Products!A:A," ")</f>
        <v xml:space="preserve"> </v>
      </c>
    </row>
    <row r="175" spans="1:13" x14ac:dyDescent="0.2">
      <c r="A175" t="s">
        <v>19</v>
      </c>
      <c r="B175">
        <v>449.3</v>
      </c>
      <c r="C175">
        <v>174</v>
      </c>
      <c r="D175" t="s">
        <v>17</v>
      </c>
      <c r="E175">
        <v>24</v>
      </c>
      <c r="F175" s="6">
        <v>45073</v>
      </c>
      <c r="G175" s="6" t="str">
        <f>_xlfn.XLOOKUP(K:K,Products!B:B,Products!E:E," ")</f>
        <v>Office</v>
      </c>
      <c r="H175" s="6" t="str">
        <f>_xlfn.XLOOKUP(Orders!K:K,Products!B:B,Products!F:F," ")</f>
        <v>Office Furniture Model 2</v>
      </c>
      <c r="I175" s="6" t="str">
        <f>_xlfn.XLOOKUP(K:K,Products!B:B,Products!C:C," ")</f>
        <v>BrandA</v>
      </c>
      <c r="J175" s="8">
        <f>_xlfn.XLOOKUP(K:K,Products!B:B,Products!D:D," ")</f>
        <v>59.72</v>
      </c>
      <c r="K175">
        <v>22</v>
      </c>
      <c r="L175" t="s">
        <v>18</v>
      </c>
      <c r="M175" t="str">
        <f>_xlfn.XLOOKUP(K:K,Products!B:B,Products!A:A," ")</f>
        <v>Office Furniture</v>
      </c>
    </row>
    <row r="176" spans="1:13" x14ac:dyDescent="0.2">
      <c r="A176" t="s">
        <v>16</v>
      </c>
      <c r="B176">
        <v>398.56</v>
      </c>
      <c r="C176">
        <v>175</v>
      </c>
      <c r="D176" t="s">
        <v>22</v>
      </c>
      <c r="E176">
        <v>49</v>
      </c>
      <c r="F176" s="6">
        <v>45046</v>
      </c>
      <c r="G176" s="6" t="str">
        <f>_xlfn.XLOOKUP(K:K,Products!B:B,Products!E:E," ")</f>
        <v>Home</v>
      </c>
      <c r="H176" s="6" t="str">
        <f>_xlfn.XLOOKUP(Orders!K:K,Products!B:B,Products!F:F," ")</f>
        <v>Furniture Model 2</v>
      </c>
      <c r="I176" s="6" t="str">
        <f>_xlfn.XLOOKUP(K:K,Products!B:B,Products!C:C," ")</f>
        <v>BrandD</v>
      </c>
      <c r="J176" s="8">
        <f>_xlfn.XLOOKUP(K:K,Products!B:B,Products!D:D," ")</f>
        <v>3.75</v>
      </c>
      <c r="K176">
        <v>10</v>
      </c>
      <c r="L176" t="s">
        <v>29</v>
      </c>
      <c r="M176" t="str">
        <f>_xlfn.XLOOKUP(K:K,Products!B:B,Products!A:A," ")</f>
        <v>Furniture</v>
      </c>
    </row>
    <row r="177" spans="1:13" x14ac:dyDescent="0.2">
      <c r="A177" t="s">
        <v>25</v>
      </c>
      <c r="B177">
        <v>33.520000000000003</v>
      </c>
      <c r="C177">
        <v>176</v>
      </c>
      <c r="D177" t="s">
        <v>22</v>
      </c>
      <c r="E177">
        <v>38</v>
      </c>
      <c r="F177" s="6">
        <v>45269</v>
      </c>
      <c r="G177" s="6" t="str">
        <f>_xlfn.XLOOKUP(K:K,Products!B:B,Products!E:E," ")</f>
        <v>Home</v>
      </c>
      <c r="H177" s="6" t="str">
        <f>_xlfn.XLOOKUP(Orders!K:K,Products!B:B,Products!F:F," ")</f>
        <v>Furniture Model 1</v>
      </c>
      <c r="I177" s="6" t="str">
        <f>_xlfn.XLOOKUP(K:K,Products!B:B,Products!C:C," ")</f>
        <v>BrandD</v>
      </c>
      <c r="J177" s="8">
        <f>_xlfn.XLOOKUP(K:K,Products!B:B,Products!D:D," ")</f>
        <v>7.21</v>
      </c>
      <c r="K177">
        <v>9</v>
      </c>
      <c r="L177" t="s">
        <v>28</v>
      </c>
      <c r="M177" t="str">
        <f>_xlfn.XLOOKUP(K:K,Products!B:B,Products!A:A," ")</f>
        <v>Furniture</v>
      </c>
    </row>
    <row r="178" spans="1:13" x14ac:dyDescent="0.2">
      <c r="A178" t="s">
        <v>21</v>
      </c>
      <c r="B178">
        <v>449.22</v>
      </c>
      <c r="C178">
        <v>177</v>
      </c>
      <c r="D178" t="s">
        <v>17</v>
      </c>
      <c r="E178">
        <v>37</v>
      </c>
      <c r="F178" s="6">
        <v>45289</v>
      </c>
      <c r="G178" s="6" t="str">
        <f>_xlfn.XLOOKUP(K:K,Products!B:B,Products!E:E," ")</f>
        <v>Electronics</v>
      </c>
      <c r="H178" s="6" t="str">
        <f>_xlfn.XLOOKUP(Orders!K:K,Products!B:B,Products!F:F," ")</f>
        <v>Laptop Model 2</v>
      </c>
      <c r="I178" s="6" t="str">
        <f>_xlfn.XLOOKUP(K:K,Products!B:B,Products!C:C," ")</f>
        <v>BrandB</v>
      </c>
      <c r="J178" s="8">
        <f>_xlfn.XLOOKUP(K:K,Products!B:B,Products!D:D," ")</f>
        <v>65.05</v>
      </c>
      <c r="K178">
        <v>4</v>
      </c>
      <c r="L178" t="s">
        <v>29</v>
      </c>
      <c r="M178" t="str">
        <f>_xlfn.XLOOKUP(K:K,Products!B:B,Products!A:A," ")</f>
        <v>Laptop</v>
      </c>
    </row>
    <row r="179" spans="1:13" x14ac:dyDescent="0.2">
      <c r="A179" t="s">
        <v>16</v>
      </c>
      <c r="B179">
        <v>419.37</v>
      </c>
      <c r="C179">
        <v>178</v>
      </c>
      <c r="D179" t="s">
        <v>20</v>
      </c>
      <c r="E179">
        <v>18</v>
      </c>
      <c r="F179" s="6">
        <v>44982</v>
      </c>
      <c r="G179" s="6" t="str">
        <f>_xlfn.XLOOKUP(K:K,Products!B:B,Products!E:E," ")</f>
        <v>Sports</v>
      </c>
      <c r="H179" s="6" t="str">
        <f>_xlfn.XLOOKUP(Orders!K:K,Products!B:B,Products!F:F," ")</f>
        <v>Fitness Model 2</v>
      </c>
      <c r="I179" s="6" t="str">
        <f>_xlfn.XLOOKUP(K:K,Products!B:B,Products!C:C," ")</f>
        <v>BrandA</v>
      </c>
      <c r="J179" s="8">
        <f>_xlfn.XLOOKUP(K:K,Products!B:B,Products!D:D," ")</f>
        <v>63.68</v>
      </c>
      <c r="K179">
        <v>14</v>
      </c>
      <c r="L179" t="s">
        <v>27</v>
      </c>
      <c r="M179" t="str">
        <f>_xlfn.XLOOKUP(K:K,Products!B:B,Products!A:A," ")</f>
        <v>Fitness</v>
      </c>
    </row>
    <row r="180" spans="1:13" x14ac:dyDescent="0.2">
      <c r="A180" t="s">
        <v>19</v>
      </c>
      <c r="B180">
        <v>377.45</v>
      </c>
      <c r="C180">
        <v>179</v>
      </c>
      <c r="D180" t="s">
        <v>20</v>
      </c>
      <c r="E180">
        <v>17</v>
      </c>
      <c r="F180" s="6">
        <v>45168</v>
      </c>
      <c r="G180" s="6" t="str">
        <f>_xlfn.XLOOKUP(K:K,Products!B:B,Products!E:E," ")</f>
        <v>Electronics</v>
      </c>
      <c r="H180" s="6" t="str">
        <f>_xlfn.XLOOKUP(Orders!K:K,Products!B:B,Products!F:F," ")</f>
        <v>Tablet Model 1</v>
      </c>
      <c r="I180" s="6" t="str">
        <f>_xlfn.XLOOKUP(K:K,Products!B:B,Products!C:C," ")</f>
        <v>BrandD</v>
      </c>
      <c r="J180" s="8">
        <f>_xlfn.XLOOKUP(K:K,Products!B:B,Products!D:D," ")</f>
        <v>55.43</v>
      </c>
      <c r="K180">
        <v>5</v>
      </c>
      <c r="L180" t="s">
        <v>29</v>
      </c>
      <c r="M180" t="str">
        <f>_xlfn.XLOOKUP(K:K,Products!B:B,Products!A:A," ")</f>
        <v>Tablet</v>
      </c>
    </row>
    <row r="181" spans="1:13" x14ac:dyDescent="0.2">
      <c r="A181" t="s">
        <v>21</v>
      </c>
      <c r="B181">
        <v>73.86</v>
      </c>
      <c r="C181">
        <v>180</v>
      </c>
      <c r="D181" t="s">
        <v>22</v>
      </c>
      <c r="E181">
        <v>21</v>
      </c>
      <c r="F181" s="6">
        <v>45056</v>
      </c>
      <c r="G181" s="6" t="str">
        <f>_xlfn.XLOOKUP(K:K,Products!B:B,Products!E:E," ")</f>
        <v>Sports</v>
      </c>
      <c r="H181" s="6" t="str">
        <f>_xlfn.XLOOKUP(Orders!K:K,Products!B:B,Products!F:F," ")</f>
        <v>Fitness Model 2</v>
      </c>
      <c r="I181" s="6" t="str">
        <f>_xlfn.XLOOKUP(K:K,Products!B:B,Products!C:C," ")</f>
        <v>BrandA</v>
      </c>
      <c r="J181" s="8">
        <f>_xlfn.XLOOKUP(K:K,Products!B:B,Products!D:D," ")</f>
        <v>63.68</v>
      </c>
      <c r="K181">
        <v>14</v>
      </c>
      <c r="L181" t="s">
        <v>27</v>
      </c>
      <c r="M181" t="str">
        <f>_xlfn.XLOOKUP(K:K,Products!B:B,Products!A:A," ")</f>
        <v>Fitness</v>
      </c>
    </row>
    <row r="182" spans="1:13" x14ac:dyDescent="0.2">
      <c r="A182" t="s">
        <v>25</v>
      </c>
      <c r="B182">
        <v>403.7</v>
      </c>
      <c r="C182">
        <v>181</v>
      </c>
      <c r="D182" t="s">
        <v>20</v>
      </c>
      <c r="E182">
        <v>3</v>
      </c>
      <c r="F182" s="6">
        <v>45234</v>
      </c>
      <c r="G182" s="6" t="str">
        <f>_xlfn.XLOOKUP(K:K,Products!B:B,Products!E:E," ")</f>
        <v xml:space="preserve"> </v>
      </c>
      <c r="H182" s="6" t="str">
        <f>_xlfn.XLOOKUP(Orders!K:K,Products!B:B,Products!F:F," ")</f>
        <v xml:space="preserve"> </v>
      </c>
      <c r="I182" s="6" t="str">
        <f>_xlfn.XLOOKUP(K:K,Products!B:B,Products!C:C," ")</f>
        <v xml:space="preserve"> </v>
      </c>
      <c r="J182" s="8" t="str">
        <f>_xlfn.XLOOKUP(K:K,Products!B:B,Products!D:D," ")</f>
        <v xml:space="preserve"> </v>
      </c>
      <c r="K182">
        <v>28</v>
      </c>
      <c r="L182" t="s">
        <v>27</v>
      </c>
      <c r="M182" t="str">
        <f>_xlfn.XLOOKUP(K:K,Products!B:B,Products!A:A," ")</f>
        <v xml:space="preserve"> </v>
      </c>
    </row>
    <row r="183" spans="1:13" x14ac:dyDescent="0.2">
      <c r="A183" t="s">
        <v>19</v>
      </c>
      <c r="B183">
        <v>159.55000000000001</v>
      </c>
      <c r="C183">
        <v>182</v>
      </c>
      <c r="D183" t="s">
        <v>20</v>
      </c>
      <c r="E183">
        <v>36</v>
      </c>
      <c r="F183" s="6">
        <v>44981</v>
      </c>
      <c r="G183" s="6" t="str">
        <f>_xlfn.XLOOKUP(K:K,Products!B:B,Products!E:E," ")</f>
        <v>Sports</v>
      </c>
      <c r="H183" s="6" t="str">
        <f>_xlfn.XLOOKUP(Orders!K:K,Products!B:B,Products!F:F," ")</f>
        <v>Clothing Model 2</v>
      </c>
      <c r="I183" s="6" t="str">
        <f>_xlfn.XLOOKUP(K:K,Products!B:B,Products!C:C," ")</f>
        <v>BrandB</v>
      </c>
      <c r="J183" s="8">
        <f>_xlfn.XLOOKUP(K:K,Products!B:B,Products!D:D," ")</f>
        <v>247.45</v>
      </c>
      <c r="K183">
        <v>18</v>
      </c>
      <c r="L183" t="s">
        <v>23</v>
      </c>
      <c r="M183" t="str">
        <f>_xlfn.XLOOKUP(K:K,Products!B:B,Products!A:A," ")</f>
        <v>Clothing</v>
      </c>
    </row>
    <row r="184" spans="1:13" x14ac:dyDescent="0.2">
      <c r="A184" t="s">
        <v>21</v>
      </c>
      <c r="B184">
        <v>497.2</v>
      </c>
      <c r="C184">
        <v>183</v>
      </c>
      <c r="D184" t="s">
        <v>24</v>
      </c>
      <c r="E184">
        <v>37</v>
      </c>
      <c r="F184" s="6">
        <v>45152</v>
      </c>
      <c r="G184" s="6" t="str">
        <f>_xlfn.XLOOKUP(K:K,Products!B:B,Products!E:E," ")</f>
        <v xml:space="preserve"> </v>
      </c>
      <c r="H184" s="6" t="str">
        <f>_xlfn.XLOOKUP(Orders!K:K,Products!B:B,Products!F:F," ")</f>
        <v xml:space="preserve"> </v>
      </c>
      <c r="I184" s="6" t="str">
        <f>_xlfn.XLOOKUP(K:K,Products!B:B,Products!C:C," ")</f>
        <v xml:space="preserve"> </v>
      </c>
      <c r="J184" s="8" t="str">
        <f>_xlfn.XLOOKUP(K:K,Products!B:B,Products!D:D," ")</f>
        <v xml:space="preserve"> </v>
      </c>
      <c r="K184">
        <v>25</v>
      </c>
      <c r="L184" t="s">
        <v>27</v>
      </c>
      <c r="M184" t="str">
        <f>_xlfn.XLOOKUP(K:K,Products!B:B,Products!A:A," ")</f>
        <v xml:space="preserve"> </v>
      </c>
    </row>
    <row r="185" spans="1:13" x14ac:dyDescent="0.2">
      <c r="A185" t="s">
        <v>25</v>
      </c>
      <c r="B185">
        <v>192.73</v>
      </c>
      <c r="C185">
        <v>184</v>
      </c>
      <c r="D185" t="s">
        <v>22</v>
      </c>
      <c r="E185">
        <v>8</v>
      </c>
      <c r="F185" s="6">
        <v>45179</v>
      </c>
      <c r="G185" s="6" t="str">
        <f>_xlfn.XLOOKUP(K:K,Products!B:B,Products!E:E," ")</f>
        <v>Electronics</v>
      </c>
      <c r="H185" s="6" t="str">
        <f>_xlfn.XLOOKUP(Orders!K:K,Products!B:B,Products!F:F," ")</f>
        <v>Tablet Model 1</v>
      </c>
      <c r="I185" s="6" t="str">
        <f>_xlfn.XLOOKUP(K:K,Products!B:B,Products!C:C," ")</f>
        <v>BrandD</v>
      </c>
      <c r="J185" s="8">
        <f>_xlfn.XLOOKUP(K:K,Products!B:B,Products!D:D," ")</f>
        <v>55.43</v>
      </c>
      <c r="K185">
        <v>5</v>
      </c>
      <c r="L185" t="s">
        <v>18</v>
      </c>
      <c r="M185" t="str">
        <f>_xlfn.XLOOKUP(K:K,Products!B:B,Products!A:A," ")</f>
        <v>Tablet</v>
      </c>
    </row>
    <row r="186" spans="1:13" x14ac:dyDescent="0.2">
      <c r="A186" t="s">
        <v>21</v>
      </c>
      <c r="B186">
        <v>95.47</v>
      </c>
      <c r="C186">
        <v>185</v>
      </c>
      <c r="D186" t="s">
        <v>22</v>
      </c>
      <c r="E186">
        <v>38</v>
      </c>
      <c r="F186" s="6">
        <v>45234</v>
      </c>
      <c r="G186" s="6" t="str">
        <f>_xlfn.XLOOKUP(K:K,Products!B:B,Products!E:E," ")</f>
        <v>Sports</v>
      </c>
      <c r="H186" s="6" t="str">
        <f>_xlfn.XLOOKUP(Orders!K:K,Products!B:B,Products!F:F," ")</f>
        <v>Outdoor Model 2</v>
      </c>
      <c r="I186" s="6" t="str">
        <f>_xlfn.XLOOKUP(K:K,Products!B:B,Products!C:C," ")</f>
        <v>BrandA</v>
      </c>
      <c r="J186" s="8">
        <f>_xlfn.XLOOKUP(K:K,Products!B:B,Products!D:D," ")</f>
        <v>21.27</v>
      </c>
      <c r="K186">
        <v>16</v>
      </c>
      <c r="L186" t="s">
        <v>23</v>
      </c>
      <c r="M186" t="str">
        <f>_xlfn.XLOOKUP(K:K,Products!B:B,Products!A:A," ")</f>
        <v>Outdoor</v>
      </c>
    </row>
    <row r="187" spans="1:13" x14ac:dyDescent="0.2">
      <c r="A187" t="s">
        <v>21</v>
      </c>
      <c r="B187">
        <v>148.85</v>
      </c>
      <c r="C187">
        <v>186</v>
      </c>
      <c r="D187" t="s">
        <v>20</v>
      </c>
      <c r="E187">
        <v>27</v>
      </c>
      <c r="F187" s="6">
        <v>44971</v>
      </c>
      <c r="G187" s="6" t="str">
        <f>_xlfn.XLOOKUP(K:K,Products!B:B,Products!E:E," ")</f>
        <v>Electronics</v>
      </c>
      <c r="H187" s="6" t="str">
        <f>_xlfn.XLOOKUP(Orders!K:K,Products!B:B,Products!F:F," ")</f>
        <v>Laptop Model 2</v>
      </c>
      <c r="I187" s="6" t="str">
        <f>_xlfn.XLOOKUP(K:K,Products!B:B,Products!C:C," ")</f>
        <v>BrandB</v>
      </c>
      <c r="J187" s="8">
        <f>_xlfn.XLOOKUP(K:K,Products!B:B,Products!D:D," ")</f>
        <v>65.05</v>
      </c>
      <c r="K187">
        <v>4</v>
      </c>
      <c r="L187" t="s">
        <v>28</v>
      </c>
      <c r="M187" t="str">
        <f>_xlfn.XLOOKUP(K:K,Products!B:B,Products!A:A," ")</f>
        <v>Laptop</v>
      </c>
    </row>
    <row r="188" spans="1:13" x14ac:dyDescent="0.2">
      <c r="A188" t="s">
        <v>19</v>
      </c>
      <c r="B188">
        <v>60.65</v>
      </c>
      <c r="C188">
        <v>187</v>
      </c>
      <c r="D188" t="s">
        <v>17</v>
      </c>
      <c r="E188">
        <v>31</v>
      </c>
      <c r="F188" s="6">
        <v>45006</v>
      </c>
      <c r="G188" s="6" t="str">
        <f>_xlfn.XLOOKUP(K:K,Products!B:B,Products!E:E," ")</f>
        <v>Electronics</v>
      </c>
      <c r="H188" s="6" t="str">
        <f>_xlfn.XLOOKUP(Orders!K:K,Products!B:B,Products!F:F," ")</f>
        <v>Smartphone Model 1</v>
      </c>
      <c r="I188" s="6" t="str">
        <f>_xlfn.XLOOKUP(K:K,Products!B:B,Products!C:C," ")</f>
        <v>BrandC</v>
      </c>
      <c r="J188" s="8">
        <f>_xlfn.XLOOKUP(K:K,Products!B:B,Products!D:D," ")</f>
        <v>285.64999999999998</v>
      </c>
      <c r="K188">
        <v>1</v>
      </c>
      <c r="L188" t="s">
        <v>23</v>
      </c>
      <c r="M188" t="str">
        <f>_xlfn.XLOOKUP(K:K,Products!B:B,Products!A:A," ")</f>
        <v>Smartphone</v>
      </c>
    </row>
    <row r="189" spans="1:13" x14ac:dyDescent="0.2">
      <c r="A189" t="s">
        <v>16</v>
      </c>
      <c r="B189">
        <v>95.82</v>
      </c>
      <c r="C189">
        <v>188</v>
      </c>
      <c r="D189" t="s">
        <v>24</v>
      </c>
      <c r="E189">
        <v>17</v>
      </c>
      <c r="F189" s="6">
        <v>45004</v>
      </c>
      <c r="G189" s="6" t="str">
        <f>_xlfn.XLOOKUP(K:K,Products!B:B,Products!E:E," ")</f>
        <v>Home</v>
      </c>
      <c r="H189" s="6" t="str">
        <f>_xlfn.XLOOKUP(Orders!K:K,Products!B:B,Products!F:F," ")</f>
        <v>Kitchen Model 2</v>
      </c>
      <c r="I189" s="6" t="str">
        <f>_xlfn.XLOOKUP(K:K,Products!B:B,Products!C:C," ")</f>
        <v>BrandC</v>
      </c>
      <c r="J189" s="8">
        <f>_xlfn.XLOOKUP(K:K,Products!B:B,Products!D:D," ")</f>
        <v>163.13999999999999</v>
      </c>
      <c r="K189">
        <v>8</v>
      </c>
      <c r="L189" t="s">
        <v>27</v>
      </c>
      <c r="M189" t="str">
        <f>_xlfn.XLOOKUP(K:K,Products!B:B,Products!A:A," ")</f>
        <v>Kitchen</v>
      </c>
    </row>
    <row r="190" spans="1:13" x14ac:dyDescent="0.2">
      <c r="A190" t="s">
        <v>25</v>
      </c>
      <c r="B190">
        <v>78.17</v>
      </c>
      <c r="C190">
        <v>189</v>
      </c>
      <c r="D190" t="s">
        <v>20</v>
      </c>
      <c r="E190">
        <v>38</v>
      </c>
      <c r="F190" s="6">
        <v>45176</v>
      </c>
      <c r="G190" s="6" t="str">
        <f>_xlfn.XLOOKUP(K:K,Products!B:B,Products!E:E," ")</f>
        <v>Home</v>
      </c>
      <c r="H190" s="6" t="str">
        <f>_xlfn.XLOOKUP(Orders!K:K,Products!B:B,Products!F:F," ")</f>
        <v>Kitchen Model 2</v>
      </c>
      <c r="I190" s="6" t="str">
        <f>_xlfn.XLOOKUP(K:K,Products!B:B,Products!C:C," ")</f>
        <v>BrandC</v>
      </c>
      <c r="J190" s="8">
        <f>_xlfn.XLOOKUP(K:K,Products!B:B,Products!D:D," ")</f>
        <v>163.13999999999999</v>
      </c>
      <c r="K190">
        <v>8</v>
      </c>
      <c r="L190" t="s">
        <v>23</v>
      </c>
      <c r="M190" t="str">
        <f>_xlfn.XLOOKUP(K:K,Products!B:B,Products!A:A," ")</f>
        <v>Kitchen</v>
      </c>
    </row>
    <row r="191" spans="1:13" x14ac:dyDescent="0.2">
      <c r="A191" t="s">
        <v>16</v>
      </c>
      <c r="B191">
        <v>113.7</v>
      </c>
      <c r="C191">
        <v>190</v>
      </c>
      <c r="D191" t="s">
        <v>24</v>
      </c>
      <c r="E191">
        <v>12</v>
      </c>
      <c r="F191" s="6">
        <v>44960</v>
      </c>
      <c r="G191" s="6" t="str">
        <f>_xlfn.XLOOKUP(K:K,Products!B:B,Products!E:E," ")</f>
        <v>Electronics</v>
      </c>
      <c r="H191" s="6" t="str">
        <f>_xlfn.XLOOKUP(Orders!K:K,Products!B:B,Products!F:F," ")</f>
        <v>Tablet Model 1</v>
      </c>
      <c r="I191" s="6" t="str">
        <f>_xlfn.XLOOKUP(K:K,Products!B:B,Products!C:C," ")</f>
        <v>BrandD</v>
      </c>
      <c r="J191" s="8">
        <f>_xlfn.XLOOKUP(K:K,Products!B:B,Products!D:D," ")</f>
        <v>55.43</v>
      </c>
      <c r="K191">
        <v>5</v>
      </c>
      <c r="L191" t="s">
        <v>23</v>
      </c>
      <c r="M191" t="str">
        <f>_xlfn.XLOOKUP(K:K,Products!B:B,Products!A:A," ")</f>
        <v>Tablet</v>
      </c>
    </row>
    <row r="192" spans="1:13" x14ac:dyDescent="0.2">
      <c r="A192" t="s">
        <v>25</v>
      </c>
      <c r="B192">
        <v>204.16</v>
      </c>
      <c r="C192">
        <v>191</v>
      </c>
      <c r="D192" t="s">
        <v>22</v>
      </c>
      <c r="E192">
        <v>47</v>
      </c>
      <c r="F192" s="6">
        <v>45229</v>
      </c>
      <c r="G192" s="6" t="str">
        <f>_xlfn.XLOOKUP(K:K,Products!B:B,Products!E:E," ")</f>
        <v>Electronics</v>
      </c>
      <c r="H192" s="6" t="str">
        <f>_xlfn.XLOOKUP(Orders!K:K,Products!B:B,Products!F:F," ")</f>
        <v>Laptop Model 1</v>
      </c>
      <c r="I192" s="6" t="str">
        <f>_xlfn.XLOOKUP(K:K,Products!B:B,Products!C:C," ")</f>
        <v>BrandB</v>
      </c>
      <c r="J192" s="8">
        <f>_xlfn.XLOOKUP(K:K,Products!B:B,Products!D:D," ")</f>
        <v>251.46</v>
      </c>
      <c r="K192">
        <v>3</v>
      </c>
      <c r="L192" t="s">
        <v>28</v>
      </c>
      <c r="M192" t="str">
        <f>_xlfn.XLOOKUP(K:K,Products!B:B,Products!A:A," ")</f>
        <v>Laptop</v>
      </c>
    </row>
    <row r="193" spans="1:13" x14ac:dyDescent="0.2">
      <c r="A193" t="s">
        <v>21</v>
      </c>
      <c r="B193">
        <v>71.47</v>
      </c>
      <c r="C193">
        <v>192</v>
      </c>
      <c r="D193" t="s">
        <v>24</v>
      </c>
      <c r="E193">
        <v>20</v>
      </c>
      <c r="F193" s="6">
        <v>44991</v>
      </c>
      <c r="G193" s="6" t="str">
        <f>_xlfn.XLOOKUP(K:K,Products!B:B,Products!E:E," ")</f>
        <v xml:space="preserve"> </v>
      </c>
      <c r="H193" s="6" t="str">
        <f>_xlfn.XLOOKUP(Orders!K:K,Products!B:B,Products!F:F," ")</f>
        <v xml:space="preserve"> </v>
      </c>
      <c r="I193" s="6" t="str">
        <f>_xlfn.XLOOKUP(K:K,Products!B:B,Products!C:C," ")</f>
        <v xml:space="preserve"> </v>
      </c>
      <c r="J193" s="8" t="str">
        <f>_xlfn.XLOOKUP(K:K,Products!B:B,Products!D:D," ")</f>
        <v xml:space="preserve"> </v>
      </c>
      <c r="K193">
        <v>28</v>
      </c>
      <c r="L193" t="s">
        <v>27</v>
      </c>
      <c r="M193" t="str">
        <f>_xlfn.XLOOKUP(K:K,Products!B:B,Products!A:A," ")</f>
        <v xml:space="preserve"> </v>
      </c>
    </row>
    <row r="194" spans="1:13" x14ac:dyDescent="0.2">
      <c r="A194" t="s">
        <v>19</v>
      </c>
      <c r="B194">
        <v>433.97</v>
      </c>
      <c r="C194">
        <v>193</v>
      </c>
      <c r="D194" t="s">
        <v>24</v>
      </c>
      <c r="E194">
        <v>11</v>
      </c>
      <c r="F194" s="6">
        <v>45185</v>
      </c>
      <c r="G194" s="6" t="str">
        <f>_xlfn.XLOOKUP(K:K,Products!B:B,Products!E:E," ")</f>
        <v>Sports</v>
      </c>
      <c r="H194" s="6" t="str">
        <f>_xlfn.XLOOKUP(Orders!K:K,Products!B:B,Products!F:F," ")</f>
        <v>Fitness Model 1</v>
      </c>
      <c r="I194" s="6" t="str">
        <f>_xlfn.XLOOKUP(K:K,Products!B:B,Products!C:C," ")</f>
        <v>BrandB</v>
      </c>
      <c r="J194" s="8">
        <f>_xlfn.XLOOKUP(K:K,Products!B:B,Products!D:D," ")</f>
        <v>227.4</v>
      </c>
      <c r="K194">
        <v>13</v>
      </c>
      <c r="L194" t="s">
        <v>28</v>
      </c>
      <c r="M194" t="str">
        <f>_xlfn.XLOOKUP(K:K,Products!B:B,Products!A:A," ")</f>
        <v>Fitness</v>
      </c>
    </row>
    <row r="195" spans="1:13" x14ac:dyDescent="0.2">
      <c r="A195" t="s">
        <v>21</v>
      </c>
      <c r="B195">
        <v>196.89</v>
      </c>
      <c r="C195">
        <v>194</v>
      </c>
      <c r="D195" t="s">
        <v>20</v>
      </c>
      <c r="E195">
        <v>1</v>
      </c>
      <c r="F195" s="6">
        <v>45001</v>
      </c>
      <c r="G195" s="6" t="str">
        <f>_xlfn.XLOOKUP(K:K,Products!B:B,Products!E:E," ")</f>
        <v>Home</v>
      </c>
      <c r="H195" s="6" t="str">
        <f>_xlfn.XLOOKUP(Orders!K:K,Products!B:B,Products!F:F," ")</f>
        <v>Kitchen Model 2</v>
      </c>
      <c r="I195" s="6" t="str">
        <f>_xlfn.XLOOKUP(K:K,Products!B:B,Products!C:C," ")</f>
        <v>BrandC</v>
      </c>
      <c r="J195" s="8">
        <f>_xlfn.XLOOKUP(K:K,Products!B:B,Products!D:D," ")</f>
        <v>163.13999999999999</v>
      </c>
      <c r="K195">
        <v>8</v>
      </c>
      <c r="L195" t="s">
        <v>23</v>
      </c>
      <c r="M195" t="str">
        <f>_xlfn.XLOOKUP(K:K,Products!B:B,Products!A:A," ")</f>
        <v>Kitchen</v>
      </c>
    </row>
    <row r="196" spans="1:13" x14ac:dyDescent="0.2">
      <c r="A196" t="s">
        <v>16</v>
      </c>
      <c r="B196">
        <v>13.52</v>
      </c>
      <c r="C196">
        <v>195</v>
      </c>
      <c r="D196" t="s">
        <v>24</v>
      </c>
      <c r="E196">
        <v>50</v>
      </c>
      <c r="F196" s="6">
        <v>45133</v>
      </c>
      <c r="G196" s="6" t="str">
        <f>_xlfn.XLOOKUP(K:K,Products!B:B,Products!E:E," ")</f>
        <v>Electronics</v>
      </c>
      <c r="H196" s="6" t="str">
        <f>_xlfn.XLOOKUP(Orders!K:K,Products!B:B,Products!F:F," ")</f>
        <v>Laptop Model 2</v>
      </c>
      <c r="I196" s="6" t="str">
        <f>_xlfn.XLOOKUP(K:K,Products!B:B,Products!C:C," ")</f>
        <v>BrandB</v>
      </c>
      <c r="J196" s="8">
        <f>_xlfn.XLOOKUP(K:K,Products!B:B,Products!D:D," ")</f>
        <v>65.05</v>
      </c>
      <c r="K196">
        <v>4</v>
      </c>
      <c r="L196" t="s">
        <v>27</v>
      </c>
      <c r="M196" t="str">
        <f>_xlfn.XLOOKUP(K:K,Products!B:B,Products!A:A," ")</f>
        <v>Laptop</v>
      </c>
    </row>
    <row r="197" spans="1:13" x14ac:dyDescent="0.2">
      <c r="A197" t="s">
        <v>21</v>
      </c>
      <c r="B197">
        <v>449.16</v>
      </c>
      <c r="C197">
        <v>196</v>
      </c>
      <c r="D197" t="s">
        <v>20</v>
      </c>
      <c r="E197">
        <v>32</v>
      </c>
      <c r="F197" s="6">
        <v>45066</v>
      </c>
      <c r="G197" s="6" t="str">
        <f>_xlfn.XLOOKUP(K:K,Products!B:B,Products!E:E," ")</f>
        <v>Office</v>
      </c>
      <c r="H197" s="6" t="str">
        <f>_xlfn.XLOOKUP(Orders!K:K,Products!B:B,Products!F:F," ")</f>
        <v>Printers Model 1</v>
      </c>
      <c r="I197" s="6" t="str">
        <f>_xlfn.XLOOKUP(K:K,Products!B:B,Products!C:C," ")</f>
        <v>BrandA</v>
      </c>
      <c r="J197" s="8">
        <f>_xlfn.XLOOKUP(K:K,Products!B:B,Products!D:D," ")</f>
        <v>36.47</v>
      </c>
      <c r="K197">
        <v>23</v>
      </c>
      <c r="L197" t="s">
        <v>18</v>
      </c>
      <c r="M197" t="str">
        <f>_xlfn.XLOOKUP(K:K,Products!B:B,Products!A:A," ")</f>
        <v>Printers</v>
      </c>
    </row>
    <row r="198" spans="1:13" x14ac:dyDescent="0.2">
      <c r="A198" t="s">
        <v>19</v>
      </c>
      <c r="B198">
        <v>77.22</v>
      </c>
      <c r="C198">
        <v>197</v>
      </c>
      <c r="D198" t="s">
        <v>22</v>
      </c>
      <c r="E198">
        <v>20</v>
      </c>
      <c r="F198" s="6">
        <v>45074</v>
      </c>
      <c r="G198" s="6" t="str">
        <f>_xlfn.XLOOKUP(K:K,Products!B:B,Products!E:E," ")</f>
        <v xml:space="preserve"> </v>
      </c>
      <c r="H198" s="6" t="str">
        <f>_xlfn.XLOOKUP(Orders!K:K,Products!B:B,Products!F:F," ")</f>
        <v xml:space="preserve"> </v>
      </c>
      <c r="I198" s="6" t="str">
        <f>_xlfn.XLOOKUP(K:K,Products!B:B,Products!C:C," ")</f>
        <v xml:space="preserve"> </v>
      </c>
      <c r="J198" s="8" t="str">
        <f>_xlfn.XLOOKUP(K:K,Products!B:B,Products!D:D," ")</f>
        <v xml:space="preserve"> </v>
      </c>
      <c r="K198">
        <v>26</v>
      </c>
      <c r="L198" t="s">
        <v>29</v>
      </c>
      <c r="M198" t="str">
        <f>_xlfn.XLOOKUP(K:K,Products!B:B,Products!A:A," ")</f>
        <v xml:space="preserve"> </v>
      </c>
    </row>
    <row r="199" spans="1:13" x14ac:dyDescent="0.2">
      <c r="A199" t="s">
        <v>19</v>
      </c>
      <c r="B199">
        <v>271.35000000000002</v>
      </c>
      <c r="C199">
        <v>198</v>
      </c>
      <c r="D199" t="s">
        <v>20</v>
      </c>
      <c r="E199">
        <v>36</v>
      </c>
      <c r="F199" s="6">
        <v>45095</v>
      </c>
      <c r="G199" s="6" t="str">
        <f>_xlfn.XLOOKUP(K:K,Products!B:B,Products!E:E," ")</f>
        <v xml:space="preserve"> </v>
      </c>
      <c r="H199" s="6" t="str">
        <f>_xlfn.XLOOKUP(Orders!K:K,Products!B:B,Products!F:F," ")</f>
        <v xml:space="preserve"> </v>
      </c>
      <c r="I199" s="6" t="str">
        <f>_xlfn.XLOOKUP(K:K,Products!B:B,Products!C:C," ")</f>
        <v xml:space="preserve"> </v>
      </c>
      <c r="J199" s="8" t="str">
        <f>_xlfn.XLOOKUP(K:K,Products!B:B,Products!D:D," ")</f>
        <v xml:space="preserve"> </v>
      </c>
      <c r="K199">
        <v>25</v>
      </c>
      <c r="L199" t="s">
        <v>29</v>
      </c>
      <c r="M199" t="str">
        <f>_xlfn.XLOOKUP(K:K,Products!B:B,Products!A:A," ")</f>
        <v xml:space="preserve"> </v>
      </c>
    </row>
    <row r="200" spans="1:13" x14ac:dyDescent="0.2">
      <c r="A200" t="s">
        <v>19</v>
      </c>
      <c r="B200">
        <v>235.27</v>
      </c>
      <c r="C200">
        <v>199</v>
      </c>
      <c r="D200" t="s">
        <v>22</v>
      </c>
      <c r="E200">
        <v>32</v>
      </c>
      <c r="F200" s="6">
        <v>45266</v>
      </c>
      <c r="G200" s="6" t="str">
        <f>_xlfn.XLOOKUP(K:K,Products!B:B,Products!E:E," ")</f>
        <v>Sports</v>
      </c>
      <c r="H200" s="6" t="str">
        <f>_xlfn.XLOOKUP(Orders!K:K,Products!B:B,Products!F:F," ")</f>
        <v>Clothing Model 2</v>
      </c>
      <c r="I200" s="6" t="str">
        <f>_xlfn.XLOOKUP(K:K,Products!B:B,Products!C:C," ")</f>
        <v>BrandB</v>
      </c>
      <c r="J200" s="8">
        <f>_xlfn.XLOOKUP(K:K,Products!B:B,Products!D:D," ")</f>
        <v>247.45</v>
      </c>
      <c r="K200">
        <v>18</v>
      </c>
      <c r="L200" t="s">
        <v>23</v>
      </c>
      <c r="M200" t="str">
        <f>_xlfn.XLOOKUP(K:K,Products!B:B,Products!A:A," ")</f>
        <v>Clothing</v>
      </c>
    </row>
    <row r="201" spans="1:13" x14ac:dyDescent="0.2">
      <c r="A201" t="s">
        <v>25</v>
      </c>
      <c r="B201">
        <v>73.87</v>
      </c>
      <c r="C201">
        <v>200</v>
      </c>
      <c r="D201" t="s">
        <v>20</v>
      </c>
      <c r="E201">
        <v>20</v>
      </c>
      <c r="F201" s="6">
        <v>44934</v>
      </c>
      <c r="G201" s="6" t="str">
        <f>_xlfn.XLOOKUP(K:K,Products!B:B,Products!E:E," ")</f>
        <v>Sports</v>
      </c>
      <c r="H201" s="6" t="str">
        <f>_xlfn.XLOOKUP(Orders!K:K,Products!B:B,Products!F:F," ")</f>
        <v>Clothing Model 2</v>
      </c>
      <c r="I201" s="6" t="str">
        <f>_xlfn.XLOOKUP(K:K,Products!B:B,Products!C:C," ")</f>
        <v>BrandB</v>
      </c>
      <c r="J201" s="8">
        <f>_xlfn.XLOOKUP(K:K,Products!B:B,Products!D:D," ")</f>
        <v>247.45</v>
      </c>
      <c r="K201">
        <v>18</v>
      </c>
      <c r="L201" t="s">
        <v>18</v>
      </c>
      <c r="M201" t="str">
        <f>_xlfn.XLOOKUP(K:K,Products!B:B,Products!A:A," ")</f>
        <v>Clothing</v>
      </c>
    </row>
    <row r="202" spans="1:13" x14ac:dyDescent="0.2">
      <c r="A202" t="s">
        <v>16</v>
      </c>
      <c r="B202">
        <v>176.82</v>
      </c>
      <c r="C202">
        <v>201</v>
      </c>
      <c r="D202" t="s">
        <v>20</v>
      </c>
      <c r="E202">
        <v>30</v>
      </c>
      <c r="F202" s="6">
        <v>44983</v>
      </c>
      <c r="G202" s="6" t="str">
        <f>_xlfn.XLOOKUP(K:K,Products!B:B,Products!E:E," ")</f>
        <v>Office</v>
      </c>
      <c r="H202" s="6" t="str">
        <f>_xlfn.XLOOKUP(Orders!K:K,Products!B:B,Products!F:F," ")</f>
        <v>Printers Model 2</v>
      </c>
      <c r="I202" s="6" t="str">
        <f>_xlfn.XLOOKUP(K:K,Products!B:B,Products!C:C," ")</f>
        <v>BrandA</v>
      </c>
      <c r="J202" s="8">
        <f>_xlfn.XLOOKUP(K:K,Products!B:B,Products!D:D," ")</f>
        <v>272.52</v>
      </c>
      <c r="K202">
        <v>24</v>
      </c>
      <c r="L202" t="s">
        <v>28</v>
      </c>
      <c r="M202" t="str">
        <f>_xlfn.XLOOKUP(K:K,Products!B:B,Products!A:A," ")</f>
        <v>Printers</v>
      </c>
    </row>
    <row r="203" spans="1:13" x14ac:dyDescent="0.2">
      <c r="A203" t="s">
        <v>21</v>
      </c>
      <c r="B203">
        <v>358.5</v>
      </c>
      <c r="C203">
        <v>202</v>
      </c>
      <c r="D203" t="s">
        <v>20</v>
      </c>
      <c r="E203">
        <v>16</v>
      </c>
      <c r="F203" s="6">
        <v>45194</v>
      </c>
      <c r="G203" s="6" t="str">
        <f>_xlfn.XLOOKUP(K:K,Products!B:B,Products!E:E," ")</f>
        <v>Home</v>
      </c>
      <c r="H203" s="6" t="str">
        <f>_xlfn.XLOOKUP(Orders!K:K,Products!B:B,Products!F:F," ")</f>
        <v>Cleaning Model 2</v>
      </c>
      <c r="I203" s="6" t="str">
        <f>_xlfn.XLOOKUP(K:K,Products!B:B,Products!C:C," ")</f>
        <v>BrandB</v>
      </c>
      <c r="J203" s="8">
        <f>_xlfn.XLOOKUP(K:K,Products!B:B,Products!D:D," ")</f>
        <v>209.52</v>
      </c>
      <c r="K203">
        <v>12</v>
      </c>
      <c r="L203" t="s">
        <v>26</v>
      </c>
      <c r="M203" t="str">
        <f>_xlfn.XLOOKUP(K:K,Products!B:B,Products!A:A," ")</f>
        <v>Cleaning</v>
      </c>
    </row>
    <row r="204" spans="1:13" x14ac:dyDescent="0.2">
      <c r="A204" t="s">
        <v>19</v>
      </c>
      <c r="B204">
        <v>390.19</v>
      </c>
      <c r="C204">
        <v>203</v>
      </c>
      <c r="D204" t="s">
        <v>22</v>
      </c>
      <c r="E204">
        <v>6</v>
      </c>
      <c r="F204" s="6">
        <v>45253</v>
      </c>
      <c r="G204" s="6" t="str">
        <f>_xlfn.XLOOKUP(K:K,Products!B:B,Products!E:E," ")</f>
        <v>Office</v>
      </c>
      <c r="H204" s="6" t="str">
        <f>_xlfn.XLOOKUP(Orders!K:K,Products!B:B,Products!F:F," ")</f>
        <v>Printers Model 2</v>
      </c>
      <c r="I204" s="6" t="str">
        <f>_xlfn.XLOOKUP(K:K,Products!B:B,Products!C:C," ")</f>
        <v>BrandA</v>
      </c>
      <c r="J204" s="8">
        <f>_xlfn.XLOOKUP(K:K,Products!B:B,Products!D:D," ")</f>
        <v>272.52</v>
      </c>
      <c r="K204">
        <v>24</v>
      </c>
      <c r="L204" t="s">
        <v>23</v>
      </c>
      <c r="M204" t="str">
        <f>_xlfn.XLOOKUP(K:K,Products!B:B,Products!A:A," ")</f>
        <v>Printers</v>
      </c>
    </row>
    <row r="205" spans="1:13" x14ac:dyDescent="0.2">
      <c r="A205" t="s">
        <v>25</v>
      </c>
      <c r="B205">
        <v>152.35</v>
      </c>
      <c r="C205">
        <v>204</v>
      </c>
      <c r="D205" t="s">
        <v>24</v>
      </c>
      <c r="E205">
        <v>42</v>
      </c>
      <c r="F205" s="6">
        <v>45202</v>
      </c>
      <c r="G205" s="6" t="str">
        <f>_xlfn.XLOOKUP(K:K,Products!B:B,Products!E:E," ")</f>
        <v>Office</v>
      </c>
      <c r="H205" s="6" t="str">
        <f>_xlfn.XLOOKUP(Orders!K:K,Products!B:B,Products!F:F," ")</f>
        <v>Stationery Model 1</v>
      </c>
      <c r="I205" s="6" t="str">
        <f>_xlfn.XLOOKUP(K:K,Products!B:B,Products!C:C," ")</f>
        <v>BrandB</v>
      </c>
      <c r="J205" s="8">
        <f>_xlfn.XLOOKUP(K:K,Products!B:B,Products!D:D," ")</f>
        <v>73</v>
      </c>
      <c r="K205">
        <v>19</v>
      </c>
      <c r="L205" t="s">
        <v>29</v>
      </c>
      <c r="M205" t="str">
        <f>_xlfn.XLOOKUP(K:K,Products!B:B,Products!A:A," ")</f>
        <v>Stationery</v>
      </c>
    </row>
    <row r="206" spans="1:13" x14ac:dyDescent="0.2">
      <c r="A206" t="s">
        <v>16</v>
      </c>
      <c r="B206">
        <v>36.56</v>
      </c>
      <c r="C206">
        <v>205</v>
      </c>
      <c r="D206" t="s">
        <v>20</v>
      </c>
      <c r="E206">
        <v>46</v>
      </c>
      <c r="F206" s="6">
        <v>45060</v>
      </c>
      <c r="G206" s="6" t="str">
        <f>_xlfn.XLOOKUP(K:K,Products!B:B,Products!E:E," ")</f>
        <v>Sports</v>
      </c>
      <c r="H206" s="6" t="str">
        <f>_xlfn.XLOOKUP(Orders!K:K,Products!B:B,Products!F:F," ")</f>
        <v>Clothing Model 1</v>
      </c>
      <c r="I206" s="6" t="str">
        <f>_xlfn.XLOOKUP(K:K,Products!B:B,Products!C:C," ")</f>
        <v>BrandD</v>
      </c>
      <c r="J206" s="8">
        <f>_xlfn.XLOOKUP(K:K,Products!B:B,Products!D:D," ")</f>
        <v>111.57</v>
      </c>
      <c r="K206">
        <v>17</v>
      </c>
      <c r="L206" t="s">
        <v>26</v>
      </c>
      <c r="M206" t="str">
        <f>_xlfn.XLOOKUP(K:K,Products!B:B,Products!A:A," ")</f>
        <v>Clothing</v>
      </c>
    </row>
    <row r="207" spans="1:13" x14ac:dyDescent="0.2">
      <c r="A207" t="s">
        <v>21</v>
      </c>
      <c r="B207">
        <v>15.17</v>
      </c>
      <c r="C207">
        <v>206</v>
      </c>
      <c r="D207" t="s">
        <v>22</v>
      </c>
      <c r="E207">
        <v>30</v>
      </c>
      <c r="F207" s="6">
        <v>45270</v>
      </c>
      <c r="G207" s="6" t="str">
        <f>_xlfn.XLOOKUP(K:K,Products!B:B,Products!E:E," ")</f>
        <v>Home</v>
      </c>
      <c r="H207" s="6" t="str">
        <f>_xlfn.XLOOKUP(Orders!K:K,Products!B:B,Products!F:F," ")</f>
        <v>Kitchen Model 1</v>
      </c>
      <c r="I207" s="6" t="str">
        <f>_xlfn.XLOOKUP(K:K,Products!B:B,Products!C:C," ")</f>
        <v>BrandB</v>
      </c>
      <c r="J207" s="8">
        <f>_xlfn.XLOOKUP(K:K,Products!B:B,Products!D:D," ")</f>
        <v>27.76</v>
      </c>
      <c r="K207">
        <v>7</v>
      </c>
      <c r="L207" t="s">
        <v>29</v>
      </c>
      <c r="M207" t="str">
        <f>_xlfn.XLOOKUP(K:K,Products!B:B,Products!A:A," ")</f>
        <v>Kitchen</v>
      </c>
    </row>
    <row r="208" spans="1:13" x14ac:dyDescent="0.2">
      <c r="A208" t="s">
        <v>25</v>
      </c>
      <c r="B208">
        <v>53.76</v>
      </c>
      <c r="C208">
        <v>207</v>
      </c>
      <c r="D208" t="s">
        <v>17</v>
      </c>
      <c r="E208">
        <v>27</v>
      </c>
      <c r="F208" s="6">
        <v>45118</v>
      </c>
      <c r="G208" s="6" t="str">
        <f>_xlfn.XLOOKUP(K:K,Products!B:B,Products!E:E," ")</f>
        <v>Office</v>
      </c>
      <c r="H208" s="6" t="str">
        <f>_xlfn.XLOOKUP(Orders!K:K,Products!B:B,Products!F:F," ")</f>
        <v>Stationery Model 2</v>
      </c>
      <c r="I208" s="6" t="str">
        <f>_xlfn.XLOOKUP(K:K,Products!B:B,Products!C:C," ")</f>
        <v>BrandC</v>
      </c>
      <c r="J208" s="8">
        <f>_xlfn.XLOOKUP(K:K,Products!B:B,Products!D:D," ")</f>
        <v>170.2</v>
      </c>
      <c r="K208">
        <v>20</v>
      </c>
      <c r="L208" t="s">
        <v>18</v>
      </c>
      <c r="M208" t="str">
        <f>_xlfn.XLOOKUP(K:K,Products!B:B,Products!A:A," ")</f>
        <v>Stationery</v>
      </c>
    </row>
    <row r="209" spans="1:13" x14ac:dyDescent="0.2">
      <c r="A209" t="s">
        <v>25</v>
      </c>
      <c r="B209">
        <v>159.86000000000001</v>
      </c>
      <c r="C209">
        <v>208</v>
      </c>
      <c r="D209" t="s">
        <v>17</v>
      </c>
      <c r="E209">
        <v>24</v>
      </c>
      <c r="F209" s="6">
        <v>45243</v>
      </c>
      <c r="G209" s="6" t="str">
        <f>_xlfn.XLOOKUP(K:K,Products!B:B,Products!E:E," ")</f>
        <v>Electronics</v>
      </c>
      <c r="H209" s="6" t="str">
        <f>_xlfn.XLOOKUP(Orders!K:K,Products!B:B,Products!F:F," ")</f>
        <v>Smartphone Model 1</v>
      </c>
      <c r="I209" s="6" t="str">
        <f>_xlfn.XLOOKUP(K:K,Products!B:B,Products!C:C," ")</f>
        <v>BrandC</v>
      </c>
      <c r="J209" s="8">
        <f>_xlfn.XLOOKUP(K:K,Products!B:B,Products!D:D," ")</f>
        <v>285.64999999999998</v>
      </c>
      <c r="K209">
        <v>1</v>
      </c>
      <c r="L209" t="s">
        <v>26</v>
      </c>
      <c r="M209" t="str">
        <f>_xlfn.XLOOKUP(K:K,Products!B:B,Products!A:A," ")</f>
        <v>Smartphone</v>
      </c>
    </row>
    <row r="210" spans="1:13" x14ac:dyDescent="0.2">
      <c r="A210" t="s">
        <v>19</v>
      </c>
      <c r="B210">
        <v>497.2</v>
      </c>
      <c r="C210">
        <v>209</v>
      </c>
      <c r="D210" t="s">
        <v>24</v>
      </c>
      <c r="E210">
        <v>19</v>
      </c>
      <c r="F210" s="6">
        <v>45285</v>
      </c>
      <c r="G210" s="6" t="str">
        <f>_xlfn.XLOOKUP(K:K,Products!B:B,Products!E:E," ")</f>
        <v>Electronics</v>
      </c>
      <c r="H210" s="6" t="str">
        <f>_xlfn.XLOOKUP(Orders!K:K,Products!B:B,Products!F:F," ")</f>
        <v>Tablet Model 1</v>
      </c>
      <c r="I210" s="6" t="str">
        <f>_xlfn.XLOOKUP(K:K,Products!B:B,Products!C:C," ")</f>
        <v>BrandD</v>
      </c>
      <c r="J210" s="8">
        <f>_xlfn.XLOOKUP(K:K,Products!B:B,Products!D:D," ")</f>
        <v>55.43</v>
      </c>
      <c r="K210">
        <v>5</v>
      </c>
      <c r="L210" t="s">
        <v>29</v>
      </c>
      <c r="M210" t="str">
        <f>_xlfn.XLOOKUP(K:K,Products!B:B,Products!A:A," ")</f>
        <v>Tablet</v>
      </c>
    </row>
    <row r="211" spans="1:13" x14ac:dyDescent="0.2">
      <c r="A211" t="s">
        <v>19</v>
      </c>
      <c r="B211">
        <v>119.17</v>
      </c>
      <c r="C211">
        <v>210</v>
      </c>
      <c r="D211" t="s">
        <v>24</v>
      </c>
      <c r="E211">
        <v>34</v>
      </c>
      <c r="F211" s="6">
        <v>45173</v>
      </c>
      <c r="G211" s="6" t="str">
        <f>_xlfn.XLOOKUP(K:K,Products!B:B,Products!E:E," ")</f>
        <v>Office</v>
      </c>
      <c r="H211" s="6" t="str">
        <f>_xlfn.XLOOKUP(Orders!K:K,Products!B:B,Products!F:F," ")</f>
        <v>Stationery Model 1</v>
      </c>
      <c r="I211" s="6" t="str">
        <f>_xlfn.XLOOKUP(K:K,Products!B:B,Products!C:C," ")</f>
        <v>BrandB</v>
      </c>
      <c r="J211" s="8">
        <f>_xlfn.XLOOKUP(K:K,Products!B:B,Products!D:D," ")</f>
        <v>73</v>
      </c>
      <c r="K211">
        <v>19</v>
      </c>
      <c r="L211" t="s">
        <v>26</v>
      </c>
      <c r="M211" t="str">
        <f>_xlfn.XLOOKUP(K:K,Products!B:B,Products!A:A," ")</f>
        <v>Stationery</v>
      </c>
    </row>
    <row r="212" spans="1:13" x14ac:dyDescent="0.2">
      <c r="A212" t="s">
        <v>25</v>
      </c>
      <c r="B212">
        <v>476.42</v>
      </c>
      <c r="C212">
        <v>211</v>
      </c>
      <c r="D212" t="s">
        <v>24</v>
      </c>
      <c r="E212">
        <v>28</v>
      </c>
      <c r="F212" s="6">
        <v>45079</v>
      </c>
      <c r="G212" s="6" t="str">
        <f>_xlfn.XLOOKUP(K:K,Products!B:B,Products!E:E," ")</f>
        <v>Electronics</v>
      </c>
      <c r="H212" s="6" t="str">
        <f>_xlfn.XLOOKUP(Orders!K:K,Products!B:B,Products!F:F," ")</f>
        <v>Laptop Model 2</v>
      </c>
      <c r="I212" s="6" t="str">
        <f>_xlfn.XLOOKUP(K:K,Products!B:B,Products!C:C," ")</f>
        <v>BrandB</v>
      </c>
      <c r="J212" s="8">
        <f>_xlfn.XLOOKUP(K:K,Products!B:B,Products!D:D," ")</f>
        <v>65.05</v>
      </c>
      <c r="K212">
        <v>4</v>
      </c>
      <c r="L212" t="s">
        <v>28</v>
      </c>
      <c r="M212" t="str">
        <f>_xlfn.XLOOKUP(K:K,Products!B:B,Products!A:A," ")</f>
        <v>Laptop</v>
      </c>
    </row>
    <row r="213" spans="1:13" x14ac:dyDescent="0.2">
      <c r="A213" t="s">
        <v>21</v>
      </c>
      <c r="B213">
        <v>195</v>
      </c>
      <c r="C213">
        <v>212</v>
      </c>
      <c r="D213" t="s">
        <v>20</v>
      </c>
      <c r="E213">
        <v>3</v>
      </c>
      <c r="F213" s="6">
        <v>45249</v>
      </c>
      <c r="G213" s="6" t="str">
        <f>_xlfn.XLOOKUP(K:K,Products!B:B,Products!E:E," ")</f>
        <v>Office</v>
      </c>
      <c r="H213" s="6" t="str">
        <f>_xlfn.XLOOKUP(Orders!K:K,Products!B:B,Products!F:F," ")</f>
        <v>Office Furniture Model 1</v>
      </c>
      <c r="I213" s="6" t="str">
        <f>_xlfn.XLOOKUP(K:K,Products!B:B,Products!C:C," ")</f>
        <v>BrandC</v>
      </c>
      <c r="J213" s="8">
        <f>_xlfn.XLOOKUP(K:K,Products!B:B,Products!D:D," ")</f>
        <v>67.66</v>
      </c>
      <c r="K213">
        <v>21</v>
      </c>
      <c r="L213" t="s">
        <v>23</v>
      </c>
      <c r="M213" t="str">
        <f>_xlfn.XLOOKUP(K:K,Products!B:B,Products!A:A," ")</f>
        <v>Office Furniture</v>
      </c>
    </row>
    <row r="214" spans="1:13" x14ac:dyDescent="0.2">
      <c r="A214" t="s">
        <v>25</v>
      </c>
      <c r="B214">
        <v>170.44</v>
      </c>
      <c r="C214">
        <v>213</v>
      </c>
      <c r="D214" t="s">
        <v>22</v>
      </c>
      <c r="E214">
        <v>26</v>
      </c>
      <c r="F214" s="6">
        <v>45010</v>
      </c>
      <c r="G214" s="6" t="str">
        <f>_xlfn.XLOOKUP(K:K,Products!B:B,Products!E:E," ")</f>
        <v xml:space="preserve"> </v>
      </c>
      <c r="H214" s="6" t="str">
        <f>_xlfn.XLOOKUP(Orders!K:K,Products!B:B,Products!F:F," ")</f>
        <v xml:space="preserve"> </v>
      </c>
      <c r="I214" s="6" t="str">
        <f>_xlfn.XLOOKUP(K:K,Products!B:B,Products!C:C," ")</f>
        <v xml:space="preserve"> </v>
      </c>
      <c r="J214" s="8" t="str">
        <f>_xlfn.XLOOKUP(K:K,Products!B:B,Products!D:D," ")</f>
        <v xml:space="preserve"> </v>
      </c>
      <c r="K214">
        <v>30</v>
      </c>
      <c r="L214" t="s">
        <v>27</v>
      </c>
      <c r="M214" t="str">
        <f>_xlfn.XLOOKUP(K:K,Products!B:B,Products!A:A," ")</f>
        <v xml:space="preserve"> </v>
      </c>
    </row>
    <row r="215" spans="1:13" x14ac:dyDescent="0.2">
      <c r="A215" t="s">
        <v>16</v>
      </c>
      <c r="B215">
        <v>466.45</v>
      </c>
      <c r="C215">
        <v>214</v>
      </c>
      <c r="D215" t="s">
        <v>20</v>
      </c>
      <c r="E215">
        <v>15</v>
      </c>
      <c r="F215" s="6">
        <v>45254</v>
      </c>
      <c r="G215" s="6" t="str">
        <f>_xlfn.XLOOKUP(K:K,Products!B:B,Products!E:E," ")</f>
        <v>Electronics</v>
      </c>
      <c r="H215" s="6" t="str">
        <f>_xlfn.XLOOKUP(Orders!K:K,Products!B:B,Products!F:F," ")</f>
        <v>Laptop Model 1</v>
      </c>
      <c r="I215" s="6" t="str">
        <f>_xlfn.XLOOKUP(K:K,Products!B:B,Products!C:C," ")</f>
        <v>BrandB</v>
      </c>
      <c r="J215" s="8">
        <f>_xlfn.XLOOKUP(K:K,Products!B:B,Products!D:D," ")</f>
        <v>251.46</v>
      </c>
      <c r="K215">
        <v>3</v>
      </c>
      <c r="L215" t="s">
        <v>28</v>
      </c>
      <c r="M215" t="str">
        <f>_xlfn.XLOOKUP(K:K,Products!B:B,Products!A:A," ")</f>
        <v>Laptop</v>
      </c>
    </row>
    <row r="216" spans="1:13" x14ac:dyDescent="0.2">
      <c r="A216" t="s">
        <v>16</v>
      </c>
      <c r="B216">
        <v>204.76</v>
      </c>
      <c r="C216">
        <v>215</v>
      </c>
      <c r="D216" t="s">
        <v>20</v>
      </c>
      <c r="E216">
        <v>4</v>
      </c>
      <c r="F216" s="6">
        <v>45022</v>
      </c>
      <c r="G216" s="6" t="str">
        <f>_xlfn.XLOOKUP(K:K,Products!B:B,Products!E:E," ")</f>
        <v>Electronics</v>
      </c>
      <c r="H216" s="6" t="str">
        <f>_xlfn.XLOOKUP(Orders!K:K,Products!B:B,Products!F:F," ")</f>
        <v>Tablet Model 1</v>
      </c>
      <c r="I216" s="6" t="str">
        <f>_xlfn.XLOOKUP(K:K,Products!B:B,Products!C:C," ")</f>
        <v>BrandD</v>
      </c>
      <c r="J216" s="8">
        <f>_xlfn.XLOOKUP(K:K,Products!B:B,Products!D:D," ")</f>
        <v>55.43</v>
      </c>
      <c r="K216">
        <v>5</v>
      </c>
      <c r="L216" t="s">
        <v>26</v>
      </c>
      <c r="M216" t="str">
        <f>_xlfn.XLOOKUP(K:K,Products!B:B,Products!A:A," ")</f>
        <v>Tablet</v>
      </c>
    </row>
    <row r="217" spans="1:13" x14ac:dyDescent="0.2">
      <c r="A217" t="s">
        <v>21</v>
      </c>
      <c r="B217">
        <v>167.04</v>
      </c>
      <c r="C217">
        <v>216</v>
      </c>
      <c r="D217" t="s">
        <v>17</v>
      </c>
      <c r="E217">
        <v>47</v>
      </c>
      <c r="F217" s="6">
        <v>44928</v>
      </c>
      <c r="G217" s="6" t="str">
        <f>_xlfn.XLOOKUP(K:K,Products!B:B,Products!E:E," ")</f>
        <v>Home</v>
      </c>
      <c r="H217" s="6" t="str">
        <f>_xlfn.XLOOKUP(Orders!K:K,Products!B:B,Products!F:F," ")</f>
        <v>Kitchen Model 2</v>
      </c>
      <c r="I217" s="6" t="str">
        <f>_xlfn.XLOOKUP(K:K,Products!B:B,Products!C:C," ")</f>
        <v>BrandC</v>
      </c>
      <c r="J217" s="8">
        <f>_xlfn.XLOOKUP(K:K,Products!B:B,Products!D:D," ")</f>
        <v>163.13999999999999</v>
      </c>
      <c r="K217">
        <v>8</v>
      </c>
      <c r="L217" t="s">
        <v>27</v>
      </c>
      <c r="M217" t="str">
        <f>_xlfn.XLOOKUP(K:K,Products!B:B,Products!A:A," ")</f>
        <v>Kitchen</v>
      </c>
    </row>
    <row r="218" spans="1:13" x14ac:dyDescent="0.2">
      <c r="A218" t="s">
        <v>25</v>
      </c>
      <c r="B218">
        <v>150.05000000000001</v>
      </c>
      <c r="C218">
        <v>217</v>
      </c>
      <c r="D218" t="s">
        <v>24</v>
      </c>
      <c r="E218">
        <v>12</v>
      </c>
      <c r="F218" s="6">
        <v>45266</v>
      </c>
      <c r="G218" s="6" t="str">
        <f>_xlfn.XLOOKUP(K:K,Products!B:B,Products!E:E," ")</f>
        <v>Home</v>
      </c>
      <c r="H218" s="6" t="str">
        <f>_xlfn.XLOOKUP(Orders!K:K,Products!B:B,Products!F:F," ")</f>
        <v>Cleaning Model 1</v>
      </c>
      <c r="I218" s="6" t="str">
        <f>_xlfn.XLOOKUP(K:K,Products!B:B,Products!C:C," ")</f>
        <v>BrandD</v>
      </c>
      <c r="J218" s="8">
        <f>_xlfn.XLOOKUP(K:K,Products!B:B,Products!D:D," ")</f>
        <v>191.61</v>
      </c>
      <c r="K218">
        <v>11</v>
      </c>
      <c r="L218" t="s">
        <v>26</v>
      </c>
      <c r="M218" t="str">
        <f>_xlfn.XLOOKUP(K:K,Products!B:B,Products!A:A," ")</f>
        <v>Cleaning</v>
      </c>
    </row>
    <row r="219" spans="1:13" x14ac:dyDescent="0.2">
      <c r="A219" t="s">
        <v>25</v>
      </c>
      <c r="B219">
        <v>56.15</v>
      </c>
      <c r="C219">
        <v>218</v>
      </c>
      <c r="D219" t="s">
        <v>24</v>
      </c>
      <c r="E219">
        <v>6</v>
      </c>
      <c r="F219" s="6">
        <v>45280</v>
      </c>
      <c r="G219" s="6" t="str">
        <f>_xlfn.XLOOKUP(K:K,Products!B:B,Products!E:E," ")</f>
        <v>Sports</v>
      </c>
      <c r="H219" s="6" t="str">
        <f>_xlfn.XLOOKUP(Orders!K:K,Products!B:B,Products!F:F," ")</f>
        <v>Clothing Model 2</v>
      </c>
      <c r="I219" s="6" t="str">
        <f>_xlfn.XLOOKUP(K:K,Products!B:B,Products!C:C," ")</f>
        <v>BrandB</v>
      </c>
      <c r="J219" s="8">
        <f>_xlfn.XLOOKUP(K:K,Products!B:B,Products!D:D," ")</f>
        <v>247.45</v>
      </c>
      <c r="K219">
        <v>18</v>
      </c>
      <c r="L219" t="s">
        <v>29</v>
      </c>
      <c r="M219" t="str">
        <f>_xlfn.XLOOKUP(K:K,Products!B:B,Products!A:A," ")</f>
        <v>Clothing</v>
      </c>
    </row>
    <row r="220" spans="1:13" x14ac:dyDescent="0.2">
      <c r="A220" t="s">
        <v>19</v>
      </c>
      <c r="B220">
        <v>442.16</v>
      </c>
      <c r="C220">
        <v>219</v>
      </c>
      <c r="D220" t="s">
        <v>22</v>
      </c>
      <c r="E220">
        <v>47</v>
      </c>
      <c r="F220" s="6">
        <v>45122</v>
      </c>
      <c r="G220" s="6" t="str">
        <f>_xlfn.XLOOKUP(K:K,Products!B:B,Products!E:E," ")</f>
        <v>Electronics</v>
      </c>
      <c r="H220" s="6" t="str">
        <f>_xlfn.XLOOKUP(Orders!K:K,Products!B:B,Products!F:F," ")</f>
        <v>Tablet Model 1</v>
      </c>
      <c r="I220" s="6" t="str">
        <f>_xlfn.XLOOKUP(K:K,Products!B:B,Products!C:C," ")</f>
        <v>BrandD</v>
      </c>
      <c r="J220" s="8">
        <f>_xlfn.XLOOKUP(K:K,Products!B:B,Products!D:D," ")</f>
        <v>55.43</v>
      </c>
      <c r="K220">
        <v>5</v>
      </c>
      <c r="L220" t="s">
        <v>26</v>
      </c>
      <c r="M220" t="str">
        <f>_xlfn.XLOOKUP(K:K,Products!B:B,Products!A:A," ")</f>
        <v>Tablet</v>
      </c>
    </row>
    <row r="221" spans="1:13" x14ac:dyDescent="0.2">
      <c r="A221" t="s">
        <v>19</v>
      </c>
      <c r="B221">
        <v>163.01</v>
      </c>
      <c r="C221">
        <v>220</v>
      </c>
      <c r="D221" t="s">
        <v>24</v>
      </c>
      <c r="E221">
        <v>28</v>
      </c>
      <c r="F221" s="6">
        <v>45197</v>
      </c>
      <c r="G221" s="6" t="str">
        <f>_xlfn.XLOOKUP(K:K,Products!B:B,Products!E:E," ")</f>
        <v>Office</v>
      </c>
      <c r="H221" s="6" t="str">
        <f>_xlfn.XLOOKUP(Orders!K:K,Products!B:B,Products!F:F," ")</f>
        <v>Printers Model 1</v>
      </c>
      <c r="I221" s="6" t="str">
        <f>_xlfn.XLOOKUP(K:K,Products!B:B,Products!C:C," ")</f>
        <v>BrandA</v>
      </c>
      <c r="J221" s="8">
        <f>_xlfn.XLOOKUP(K:K,Products!B:B,Products!D:D," ")</f>
        <v>36.47</v>
      </c>
      <c r="K221">
        <v>23</v>
      </c>
      <c r="L221" t="s">
        <v>18</v>
      </c>
      <c r="M221" t="str">
        <f>_xlfn.XLOOKUP(K:K,Products!B:B,Products!A:A," ")</f>
        <v>Printers</v>
      </c>
    </row>
    <row r="222" spans="1:13" x14ac:dyDescent="0.2">
      <c r="A222" t="s">
        <v>16</v>
      </c>
      <c r="B222">
        <v>204.06</v>
      </c>
      <c r="C222">
        <v>221</v>
      </c>
      <c r="D222" t="s">
        <v>24</v>
      </c>
      <c r="E222">
        <v>33</v>
      </c>
      <c r="F222" s="6">
        <v>45002</v>
      </c>
      <c r="G222" s="6" t="str">
        <f>_xlfn.XLOOKUP(K:K,Products!B:B,Products!E:E," ")</f>
        <v>Electronics</v>
      </c>
      <c r="H222" s="6" t="str">
        <f>_xlfn.XLOOKUP(Orders!K:K,Products!B:B,Products!F:F," ")</f>
        <v>Tablet Model 2</v>
      </c>
      <c r="I222" s="6" t="str">
        <f>_xlfn.XLOOKUP(K:K,Products!B:B,Products!C:C," ")</f>
        <v>BrandB</v>
      </c>
      <c r="J222" s="8">
        <f>_xlfn.XLOOKUP(K:K,Products!B:B,Products!D:D," ")</f>
        <v>184.01</v>
      </c>
      <c r="K222">
        <v>6</v>
      </c>
      <c r="L222" t="s">
        <v>26</v>
      </c>
      <c r="M222" t="str">
        <f>_xlfn.XLOOKUP(K:K,Products!B:B,Products!A:A," ")</f>
        <v>Tablet</v>
      </c>
    </row>
    <row r="223" spans="1:13" x14ac:dyDescent="0.2">
      <c r="A223" t="s">
        <v>19</v>
      </c>
      <c r="B223">
        <v>459.71</v>
      </c>
      <c r="C223">
        <v>222</v>
      </c>
      <c r="D223" t="s">
        <v>17</v>
      </c>
      <c r="E223">
        <v>48</v>
      </c>
      <c r="F223" s="6">
        <v>45117</v>
      </c>
      <c r="G223" s="6" t="str">
        <f>_xlfn.XLOOKUP(K:K,Products!B:B,Products!E:E," ")</f>
        <v>Home</v>
      </c>
      <c r="H223" s="6" t="str">
        <f>_xlfn.XLOOKUP(Orders!K:K,Products!B:B,Products!F:F," ")</f>
        <v>Kitchen Model 1</v>
      </c>
      <c r="I223" s="6" t="str">
        <f>_xlfn.XLOOKUP(K:K,Products!B:B,Products!C:C," ")</f>
        <v>BrandB</v>
      </c>
      <c r="J223" s="8">
        <f>_xlfn.XLOOKUP(K:K,Products!B:B,Products!D:D," ")</f>
        <v>27.76</v>
      </c>
      <c r="K223">
        <v>7</v>
      </c>
      <c r="L223" t="s">
        <v>26</v>
      </c>
      <c r="M223" t="str">
        <f>_xlfn.XLOOKUP(K:K,Products!B:B,Products!A:A," ")</f>
        <v>Kitchen</v>
      </c>
    </row>
    <row r="224" spans="1:13" x14ac:dyDescent="0.2">
      <c r="A224" t="s">
        <v>25</v>
      </c>
      <c r="B224">
        <v>12.71</v>
      </c>
      <c r="C224">
        <v>223</v>
      </c>
      <c r="D224" t="s">
        <v>20</v>
      </c>
      <c r="E224">
        <v>39</v>
      </c>
      <c r="F224" s="6">
        <v>44982</v>
      </c>
      <c r="G224" s="6" t="str">
        <f>_xlfn.XLOOKUP(K:K,Products!B:B,Products!E:E," ")</f>
        <v>Electronics</v>
      </c>
      <c r="H224" s="6" t="str">
        <f>_xlfn.XLOOKUP(Orders!K:K,Products!B:B,Products!F:F," ")</f>
        <v>Tablet Model 1</v>
      </c>
      <c r="I224" s="6" t="str">
        <f>_xlfn.XLOOKUP(K:K,Products!B:B,Products!C:C," ")</f>
        <v>BrandD</v>
      </c>
      <c r="J224" s="8">
        <f>_xlfn.XLOOKUP(K:K,Products!B:B,Products!D:D," ")</f>
        <v>55.43</v>
      </c>
      <c r="K224">
        <v>5</v>
      </c>
      <c r="L224" t="s">
        <v>28</v>
      </c>
      <c r="M224" t="str">
        <f>_xlfn.XLOOKUP(K:K,Products!B:B,Products!A:A," ")</f>
        <v>Tablet</v>
      </c>
    </row>
    <row r="225" spans="1:13" x14ac:dyDescent="0.2">
      <c r="A225" t="s">
        <v>16</v>
      </c>
      <c r="B225">
        <v>387.26</v>
      </c>
      <c r="C225">
        <v>224</v>
      </c>
      <c r="D225" t="s">
        <v>24</v>
      </c>
      <c r="E225">
        <v>8</v>
      </c>
      <c r="F225" s="6">
        <v>45170</v>
      </c>
      <c r="G225" s="6" t="str">
        <f>_xlfn.XLOOKUP(K:K,Products!B:B,Products!E:E," ")</f>
        <v>Home</v>
      </c>
      <c r="H225" s="6" t="str">
        <f>_xlfn.XLOOKUP(Orders!K:K,Products!B:B,Products!F:F," ")</f>
        <v>Kitchen Model 2</v>
      </c>
      <c r="I225" s="6" t="str">
        <f>_xlfn.XLOOKUP(K:K,Products!B:B,Products!C:C," ")</f>
        <v>BrandC</v>
      </c>
      <c r="J225" s="8">
        <f>_xlfn.XLOOKUP(K:K,Products!B:B,Products!D:D," ")</f>
        <v>163.13999999999999</v>
      </c>
      <c r="K225">
        <v>8</v>
      </c>
      <c r="L225" t="s">
        <v>23</v>
      </c>
      <c r="M225" t="str">
        <f>_xlfn.XLOOKUP(K:K,Products!B:B,Products!A:A," ")</f>
        <v>Kitchen</v>
      </c>
    </row>
    <row r="226" spans="1:13" x14ac:dyDescent="0.2">
      <c r="A226" t="s">
        <v>21</v>
      </c>
      <c r="B226">
        <v>345.75</v>
      </c>
      <c r="C226">
        <v>225</v>
      </c>
      <c r="D226" t="s">
        <v>24</v>
      </c>
      <c r="E226">
        <v>27</v>
      </c>
      <c r="F226" s="6">
        <v>45145</v>
      </c>
      <c r="G226" s="6" t="str">
        <f>_xlfn.XLOOKUP(K:K,Products!B:B,Products!E:E," ")</f>
        <v>Home</v>
      </c>
      <c r="H226" s="6" t="str">
        <f>_xlfn.XLOOKUP(Orders!K:K,Products!B:B,Products!F:F," ")</f>
        <v>Kitchen Model 2</v>
      </c>
      <c r="I226" s="6" t="str">
        <f>_xlfn.XLOOKUP(K:K,Products!B:B,Products!C:C," ")</f>
        <v>BrandC</v>
      </c>
      <c r="J226" s="8">
        <f>_xlfn.XLOOKUP(K:K,Products!B:B,Products!D:D," ")</f>
        <v>163.13999999999999</v>
      </c>
      <c r="K226">
        <v>8</v>
      </c>
      <c r="L226" t="s">
        <v>23</v>
      </c>
      <c r="M226" t="str">
        <f>_xlfn.XLOOKUP(K:K,Products!B:B,Products!A:A," ")</f>
        <v>Kitchen</v>
      </c>
    </row>
    <row r="227" spans="1:13" x14ac:dyDescent="0.2">
      <c r="A227" t="s">
        <v>16</v>
      </c>
      <c r="B227">
        <v>359.6</v>
      </c>
      <c r="C227">
        <v>226</v>
      </c>
      <c r="D227" t="s">
        <v>20</v>
      </c>
      <c r="E227">
        <v>42</v>
      </c>
      <c r="F227" s="6">
        <v>45187</v>
      </c>
      <c r="G227" s="6" t="str">
        <f>_xlfn.XLOOKUP(K:K,Products!B:B,Products!E:E," ")</f>
        <v xml:space="preserve"> </v>
      </c>
      <c r="H227" s="6" t="str">
        <f>_xlfn.XLOOKUP(Orders!K:K,Products!B:B,Products!F:F," ")</f>
        <v xml:space="preserve"> </v>
      </c>
      <c r="I227" s="6" t="str">
        <f>_xlfn.XLOOKUP(K:K,Products!B:B,Products!C:C," ")</f>
        <v xml:space="preserve"> </v>
      </c>
      <c r="J227" s="8" t="str">
        <f>_xlfn.XLOOKUP(K:K,Products!B:B,Products!D:D," ")</f>
        <v xml:space="preserve"> </v>
      </c>
      <c r="K227">
        <v>28</v>
      </c>
      <c r="L227" t="s">
        <v>29</v>
      </c>
      <c r="M227" t="str">
        <f>_xlfn.XLOOKUP(K:K,Products!B:B,Products!A:A," ")</f>
        <v xml:space="preserve"> </v>
      </c>
    </row>
    <row r="228" spans="1:13" x14ac:dyDescent="0.2">
      <c r="A228" t="s">
        <v>16</v>
      </c>
      <c r="B228">
        <v>88.62</v>
      </c>
      <c r="C228">
        <v>227</v>
      </c>
      <c r="D228" t="s">
        <v>24</v>
      </c>
      <c r="E228">
        <v>41</v>
      </c>
      <c r="F228" s="6">
        <v>44976</v>
      </c>
      <c r="G228" s="6" t="str">
        <f>_xlfn.XLOOKUP(K:K,Products!B:B,Products!E:E," ")</f>
        <v xml:space="preserve"> </v>
      </c>
      <c r="H228" s="6" t="str">
        <f>_xlfn.XLOOKUP(Orders!K:K,Products!B:B,Products!F:F," ")</f>
        <v xml:space="preserve"> </v>
      </c>
      <c r="I228" s="6" t="str">
        <f>_xlfn.XLOOKUP(K:K,Products!B:B,Products!C:C," ")</f>
        <v xml:space="preserve"> </v>
      </c>
      <c r="J228" s="8" t="str">
        <f>_xlfn.XLOOKUP(K:K,Products!B:B,Products!D:D," ")</f>
        <v xml:space="preserve"> </v>
      </c>
      <c r="K228">
        <v>27</v>
      </c>
      <c r="L228" t="s">
        <v>28</v>
      </c>
      <c r="M228" t="str">
        <f>_xlfn.XLOOKUP(K:K,Products!B:B,Products!A:A," ")</f>
        <v xml:space="preserve"> </v>
      </c>
    </row>
    <row r="229" spans="1:13" x14ac:dyDescent="0.2">
      <c r="A229" t="s">
        <v>19</v>
      </c>
      <c r="B229">
        <v>99.88</v>
      </c>
      <c r="C229">
        <v>228</v>
      </c>
      <c r="D229" t="s">
        <v>17</v>
      </c>
      <c r="E229">
        <v>16</v>
      </c>
      <c r="F229" s="6">
        <v>44963</v>
      </c>
      <c r="G229" s="6" t="str">
        <f>_xlfn.XLOOKUP(K:K,Products!B:B,Products!E:E," ")</f>
        <v xml:space="preserve"> </v>
      </c>
      <c r="H229" s="6" t="str">
        <f>_xlfn.XLOOKUP(Orders!K:K,Products!B:B,Products!F:F," ")</f>
        <v xml:space="preserve"> </v>
      </c>
      <c r="I229" s="6" t="str">
        <f>_xlfn.XLOOKUP(K:K,Products!B:B,Products!C:C," ")</f>
        <v xml:space="preserve"> </v>
      </c>
      <c r="J229" s="8" t="str">
        <f>_xlfn.XLOOKUP(K:K,Products!B:B,Products!D:D," ")</f>
        <v xml:space="preserve"> </v>
      </c>
      <c r="K229">
        <v>30</v>
      </c>
      <c r="L229" t="s">
        <v>29</v>
      </c>
      <c r="M229" t="str">
        <f>_xlfn.XLOOKUP(K:K,Products!B:B,Products!A:A," ")</f>
        <v xml:space="preserve"> </v>
      </c>
    </row>
    <row r="230" spans="1:13" x14ac:dyDescent="0.2">
      <c r="A230" t="s">
        <v>16</v>
      </c>
      <c r="B230">
        <v>238.86</v>
      </c>
      <c r="C230">
        <v>229</v>
      </c>
      <c r="D230" t="s">
        <v>24</v>
      </c>
      <c r="E230">
        <v>39</v>
      </c>
      <c r="F230" s="6">
        <v>45064</v>
      </c>
      <c r="G230" s="6" t="str">
        <f>_xlfn.XLOOKUP(K:K,Products!B:B,Products!E:E," ")</f>
        <v>Electronics</v>
      </c>
      <c r="H230" s="6" t="str">
        <f>_xlfn.XLOOKUP(Orders!K:K,Products!B:B,Products!F:F," ")</f>
        <v>Laptop Model 1</v>
      </c>
      <c r="I230" s="6" t="str">
        <f>_xlfn.XLOOKUP(K:K,Products!B:B,Products!C:C," ")</f>
        <v>BrandB</v>
      </c>
      <c r="J230" s="8">
        <f>_xlfn.XLOOKUP(K:K,Products!B:B,Products!D:D," ")</f>
        <v>251.46</v>
      </c>
      <c r="K230">
        <v>3</v>
      </c>
      <c r="L230" t="s">
        <v>29</v>
      </c>
      <c r="M230" t="str">
        <f>_xlfn.XLOOKUP(K:K,Products!B:B,Products!A:A," ")</f>
        <v>Laptop</v>
      </c>
    </row>
    <row r="231" spans="1:13" x14ac:dyDescent="0.2">
      <c r="A231" t="s">
        <v>19</v>
      </c>
      <c r="B231">
        <v>213.54</v>
      </c>
      <c r="C231">
        <v>230</v>
      </c>
      <c r="D231" t="s">
        <v>24</v>
      </c>
      <c r="E231">
        <v>2</v>
      </c>
      <c r="F231" s="6">
        <v>45203</v>
      </c>
      <c r="G231" s="6" t="str">
        <f>_xlfn.XLOOKUP(K:K,Products!B:B,Products!E:E," ")</f>
        <v xml:space="preserve"> </v>
      </c>
      <c r="H231" s="6" t="str">
        <f>_xlfn.XLOOKUP(Orders!K:K,Products!B:B,Products!F:F," ")</f>
        <v xml:space="preserve"> </v>
      </c>
      <c r="I231" s="6" t="str">
        <f>_xlfn.XLOOKUP(K:K,Products!B:B,Products!C:C," ")</f>
        <v xml:space="preserve"> </v>
      </c>
      <c r="J231" s="8" t="str">
        <f>_xlfn.XLOOKUP(K:K,Products!B:B,Products!D:D," ")</f>
        <v xml:space="preserve"> </v>
      </c>
      <c r="K231">
        <v>25</v>
      </c>
      <c r="L231" t="s">
        <v>26</v>
      </c>
      <c r="M231" t="str">
        <f>_xlfn.XLOOKUP(K:K,Products!B:B,Products!A:A," ")</f>
        <v xml:space="preserve"> </v>
      </c>
    </row>
    <row r="232" spans="1:13" x14ac:dyDescent="0.2">
      <c r="A232" t="s">
        <v>16</v>
      </c>
      <c r="B232">
        <v>364.2</v>
      </c>
      <c r="C232">
        <v>231</v>
      </c>
      <c r="D232" t="s">
        <v>20</v>
      </c>
      <c r="E232">
        <v>14</v>
      </c>
      <c r="F232" s="6">
        <v>45137</v>
      </c>
      <c r="G232" s="6" t="str">
        <f>_xlfn.XLOOKUP(K:K,Products!B:B,Products!E:E," ")</f>
        <v>Office</v>
      </c>
      <c r="H232" s="6" t="str">
        <f>_xlfn.XLOOKUP(Orders!K:K,Products!B:B,Products!F:F," ")</f>
        <v>Stationery Model 2</v>
      </c>
      <c r="I232" s="6" t="str">
        <f>_xlfn.XLOOKUP(K:K,Products!B:B,Products!C:C," ")</f>
        <v>BrandC</v>
      </c>
      <c r="J232" s="8">
        <f>_xlfn.XLOOKUP(K:K,Products!B:B,Products!D:D," ")</f>
        <v>170.2</v>
      </c>
      <c r="K232">
        <v>20</v>
      </c>
      <c r="L232" t="s">
        <v>26</v>
      </c>
      <c r="M232" t="str">
        <f>_xlfn.XLOOKUP(K:K,Products!B:B,Products!A:A," ")</f>
        <v>Stationery</v>
      </c>
    </row>
    <row r="233" spans="1:13" x14ac:dyDescent="0.2">
      <c r="A233" t="s">
        <v>21</v>
      </c>
      <c r="B233">
        <v>418.34</v>
      </c>
      <c r="C233">
        <v>232</v>
      </c>
      <c r="D233" t="s">
        <v>17</v>
      </c>
      <c r="E233">
        <v>28</v>
      </c>
      <c r="F233" s="6">
        <v>45081</v>
      </c>
      <c r="G233" s="6" t="str">
        <f>_xlfn.XLOOKUP(K:K,Products!B:B,Products!E:E," ")</f>
        <v xml:space="preserve"> </v>
      </c>
      <c r="H233" s="6" t="str">
        <f>_xlfn.XLOOKUP(Orders!K:K,Products!B:B,Products!F:F," ")</f>
        <v xml:space="preserve"> </v>
      </c>
      <c r="I233" s="6" t="str">
        <f>_xlfn.XLOOKUP(K:K,Products!B:B,Products!C:C," ")</f>
        <v xml:space="preserve"> </v>
      </c>
      <c r="J233" s="8" t="str">
        <f>_xlfn.XLOOKUP(K:K,Products!B:B,Products!D:D," ")</f>
        <v xml:space="preserve"> </v>
      </c>
      <c r="K233">
        <v>29</v>
      </c>
      <c r="L233" t="s">
        <v>28</v>
      </c>
      <c r="M233" t="str">
        <f>_xlfn.XLOOKUP(K:K,Products!B:B,Products!A:A," ")</f>
        <v xml:space="preserve"> </v>
      </c>
    </row>
    <row r="234" spans="1:13" x14ac:dyDescent="0.2">
      <c r="A234" t="s">
        <v>19</v>
      </c>
      <c r="B234">
        <v>5.43</v>
      </c>
      <c r="C234">
        <v>233</v>
      </c>
      <c r="D234" t="s">
        <v>17</v>
      </c>
      <c r="E234">
        <v>48</v>
      </c>
      <c r="F234" s="6">
        <v>45180</v>
      </c>
      <c r="G234" s="6" t="str">
        <f>_xlfn.XLOOKUP(K:K,Products!B:B,Products!E:E," ")</f>
        <v>Sports</v>
      </c>
      <c r="H234" s="6" t="str">
        <f>_xlfn.XLOOKUP(Orders!K:K,Products!B:B,Products!F:F," ")</f>
        <v>Clothing Model 2</v>
      </c>
      <c r="I234" s="6" t="str">
        <f>_xlfn.XLOOKUP(K:K,Products!B:B,Products!C:C," ")</f>
        <v>BrandB</v>
      </c>
      <c r="J234" s="8">
        <f>_xlfn.XLOOKUP(K:K,Products!B:B,Products!D:D," ")</f>
        <v>247.45</v>
      </c>
      <c r="K234">
        <v>18</v>
      </c>
      <c r="L234" t="s">
        <v>27</v>
      </c>
      <c r="M234" t="str">
        <f>_xlfn.XLOOKUP(K:K,Products!B:B,Products!A:A," ")</f>
        <v>Clothing</v>
      </c>
    </row>
    <row r="235" spans="1:13" x14ac:dyDescent="0.2">
      <c r="A235" t="s">
        <v>21</v>
      </c>
      <c r="B235">
        <v>14.34</v>
      </c>
      <c r="C235">
        <v>234</v>
      </c>
      <c r="D235" t="s">
        <v>17</v>
      </c>
      <c r="E235">
        <v>33</v>
      </c>
      <c r="F235" s="6">
        <v>45014</v>
      </c>
      <c r="G235" s="6" t="str">
        <f>_xlfn.XLOOKUP(K:K,Products!B:B,Products!E:E," ")</f>
        <v>Electronics</v>
      </c>
      <c r="H235" s="6" t="str">
        <f>_xlfn.XLOOKUP(Orders!K:K,Products!B:B,Products!F:F," ")</f>
        <v>Smartphone Model 2</v>
      </c>
      <c r="I235" s="6" t="str">
        <f>_xlfn.XLOOKUP(K:K,Products!B:B,Products!C:C," ")</f>
        <v>BrandB</v>
      </c>
      <c r="J235" s="8">
        <f>_xlfn.XLOOKUP(K:K,Products!B:B,Products!D:D," ")</f>
        <v>43.27</v>
      </c>
      <c r="K235">
        <v>2</v>
      </c>
      <c r="L235" t="s">
        <v>18</v>
      </c>
      <c r="M235" t="str">
        <f>_xlfn.XLOOKUP(K:K,Products!B:B,Products!A:A," ")</f>
        <v>Smartphone</v>
      </c>
    </row>
    <row r="236" spans="1:13" x14ac:dyDescent="0.2">
      <c r="A236" t="s">
        <v>21</v>
      </c>
      <c r="B236">
        <v>7.53</v>
      </c>
      <c r="C236">
        <v>235</v>
      </c>
      <c r="D236" t="s">
        <v>24</v>
      </c>
      <c r="E236">
        <v>13</v>
      </c>
      <c r="F236" s="6">
        <v>45052</v>
      </c>
      <c r="G236" s="6" t="str">
        <f>_xlfn.XLOOKUP(K:K,Products!B:B,Products!E:E," ")</f>
        <v>Sports</v>
      </c>
      <c r="H236" s="6" t="str">
        <f>_xlfn.XLOOKUP(Orders!K:K,Products!B:B,Products!F:F," ")</f>
        <v>Fitness Model 2</v>
      </c>
      <c r="I236" s="6" t="str">
        <f>_xlfn.XLOOKUP(K:K,Products!B:B,Products!C:C," ")</f>
        <v>BrandA</v>
      </c>
      <c r="J236" s="8">
        <f>_xlfn.XLOOKUP(K:K,Products!B:B,Products!D:D," ")</f>
        <v>63.68</v>
      </c>
      <c r="K236">
        <v>14</v>
      </c>
      <c r="L236" t="s">
        <v>26</v>
      </c>
      <c r="M236" t="str">
        <f>_xlfn.XLOOKUP(K:K,Products!B:B,Products!A:A," ")</f>
        <v>Fitness</v>
      </c>
    </row>
    <row r="237" spans="1:13" x14ac:dyDescent="0.2">
      <c r="A237" t="s">
        <v>16</v>
      </c>
      <c r="B237">
        <v>254.76</v>
      </c>
      <c r="C237">
        <v>236</v>
      </c>
      <c r="D237" t="s">
        <v>20</v>
      </c>
      <c r="E237">
        <v>16</v>
      </c>
      <c r="F237" s="6">
        <v>45198</v>
      </c>
      <c r="G237" s="6" t="str">
        <f>_xlfn.XLOOKUP(K:K,Products!B:B,Products!E:E," ")</f>
        <v>Sports</v>
      </c>
      <c r="H237" s="6" t="str">
        <f>_xlfn.XLOOKUP(Orders!K:K,Products!B:B,Products!F:F," ")</f>
        <v>Outdoor Model 1</v>
      </c>
      <c r="I237" s="6" t="str">
        <f>_xlfn.XLOOKUP(K:K,Products!B:B,Products!C:C," ")</f>
        <v>BrandD</v>
      </c>
      <c r="J237" s="8">
        <f>_xlfn.XLOOKUP(K:K,Products!B:B,Products!D:D," ")</f>
        <v>223.53</v>
      </c>
      <c r="K237">
        <v>15</v>
      </c>
      <c r="L237" t="s">
        <v>26</v>
      </c>
      <c r="M237" t="str">
        <f>_xlfn.XLOOKUP(K:K,Products!B:B,Products!A:A," ")</f>
        <v>Outdoor</v>
      </c>
    </row>
    <row r="238" spans="1:13" x14ac:dyDescent="0.2">
      <c r="A238" t="s">
        <v>25</v>
      </c>
      <c r="B238">
        <v>380.4</v>
      </c>
      <c r="C238">
        <v>237</v>
      </c>
      <c r="D238" t="s">
        <v>24</v>
      </c>
      <c r="E238">
        <v>19</v>
      </c>
      <c r="F238" s="6">
        <v>45237</v>
      </c>
      <c r="G238" s="6" t="str">
        <f>_xlfn.XLOOKUP(K:K,Products!B:B,Products!E:E," ")</f>
        <v>Sports</v>
      </c>
      <c r="H238" s="6" t="str">
        <f>_xlfn.XLOOKUP(Orders!K:K,Products!B:B,Products!F:F," ")</f>
        <v>Clothing Model 2</v>
      </c>
      <c r="I238" s="6" t="str">
        <f>_xlfn.XLOOKUP(K:K,Products!B:B,Products!C:C," ")</f>
        <v>BrandB</v>
      </c>
      <c r="J238" s="8">
        <f>_xlfn.XLOOKUP(K:K,Products!B:B,Products!D:D," ")</f>
        <v>247.45</v>
      </c>
      <c r="K238">
        <v>18</v>
      </c>
      <c r="L238" t="s">
        <v>27</v>
      </c>
      <c r="M238" t="str">
        <f>_xlfn.XLOOKUP(K:K,Products!B:B,Products!A:A," ")</f>
        <v>Clothing</v>
      </c>
    </row>
    <row r="239" spans="1:13" x14ac:dyDescent="0.2">
      <c r="A239" t="s">
        <v>19</v>
      </c>
      <c r="B239">
        <v>414.38</v>
      </c>
      <c r="C239">
        <v>238</v>
      </c>
      <c r="D239" t="s">
        <v>22</v>
      </c>
      <c r="E239">
        <v>32</v>
      </c>
      <c r="F239" s="6">
        <v>45005</v>
      </c>
      <c r="G239" s="6" t="str">
        <f>_xlfn.XLOOKUP(K:K,Products!B:B,Products!E:E," ")</f>
        <v>Office</v>
      </c>
      <c r="H239" s="6" t="str">
        <f>_xlfn.XLOOKUP(Orders!K:K,Products!B:B,Products!F:F," ")</f>
        <v>Office Furniture Model 1</v>
      </c>
      <c r="I239" s="6" t="str">
        <f>_xlfn.XLOOKUP(K:K,Products!B:B,Products!C:C," ")</f>
        <v>BrandC</v>
      </c>
      <c r="J239" s="8">
        <f>_xlfn.XLOOKUP(K:K,Products!B:B,Products!D:D," ")</f>
        <v>67.66</v>
      </c>
      <c r="K239">
        <v>21</v>
      </c>
      <c r="L239" t="s">
        <v>27</v>
      </c>
      <c r="M239" t="str">
        <f>_xlfn.XLOOKUP(K:K,Products!B:B,Products!A:A," ")</f>
        <v>Office Furniture</v>
      </c>
    </row>
    <row r="240" spans="1:13" x14ac:dyDescent="0.2">
      <c r="A240" t="s">
        <v>19</v>
      </c>
      <c r="B240">
        <v>467.95</v>
      </c>
      <c r="C240">
        <v>239</v>
      </c>
      <c r="D240" t="s">
        <v>22</v>
      </c>
      <c r="E240">
        <v>40</v>
      </c>
      <c r="F240" s="6">
        <v>45022</v>
      </c>
      <c r="G240" s="6" t="str">
        <f>_xlfn.XLOOKUP(K:K,Products!B:B,Products!E:E," ")</f>
        <v>Office</v>
      </c>
      <c r="H240" s="6" t="str">
        <f>_xlfn.XLOOKUP(Orders!K:K,Products!B:B,Products!F:F," ")</f>
        <v>Stationery Model 1</v>
      </c>
      <c r="I240" s="6" t="str">
        <f>_xlfn.XLOOKUP(K:K,Products!B:B,Products!C:C," ")</f>
        <v>BrandB</v>
      </c>
      <c r="J240" s="8">
        <f>_xlfn.XLOOKUP(K:K,Products!B:B,Products!D:D," ")</f>
        <v>73</v>
      </c>
      <c r="K240">
        <v>19</v>
      </c>
      <c r="L240" t="s">
        <v>18</v>
      </c>
      <c r="M240" t="str">
        <f>_xlfn.XLOOKUP(K:K,Products!B:B,Products!A:A," ")</f>
        <v>Stationery</v>
      </c>
    </row>
    <row r="241" spans="1:13" x14ac:dyDescent="0.2">
      <c r="A241" t="s">
        <v>19</v>
      </c>
      <c r="B241">
        <v>432.56</v>
      </c>
      <c r="C241">
        <v>240</v>
      </c>
      <c r="D241" t="s">
        <v>22</v>
      </c>
      <c r="E241">
        <v>17</v>
      </c>
      <c r="F241" s="6">
        <v>45072</v>
      </c>
      <c r="G241" s="6" t="str">
        <f>_xlfn.XLOOKUP(K:K,Products!B:B,Products!E:E," ")</f>
        <v>Sports</v>
      </c>
      <c r="H241" s="6" t="str">
        <f>_xlfn.XLOOKUP(Orders!K:K,Products!B:B,Products!F:F," ")</f>
        <v>Clothing Model 2</v>
      </c>
      <c r="I241" s="6" t="str">
        <f>_xlfn.XLOOKUP(K:K,Products!B:B,Products!C:C," ")</f>
        <v>BrandB</v>
      </c>
      <c r="J241" s="8">
        <f>_xlfn.XLOOKUP(K:K,Products!B:B,Products!D:D," ")</f>
        <v>247.45</v>
      </c>
      <c r="K241">
        <v>18</v>
      </c>
      <c r="L241" t="s">
        <v>28</v>
      </c>
      <c r="M241" t="str">
        <f>_xlfn.XLOOKUP(K:K,Products!B:B,Products!A:A," ")</f>
        <v>Clothing</v>
      </c>
    </row>
    <row r="242" spans="1:13" x14ac:dyDescent="0.2">
      <c r="A242" t="s">
        <v>19</v>
      </c>
      <c r="B242">
        <v>45.98</v>
      </c>
      <c r="C242">
        <v>241</v>
      </c>
      <c r="D242" t="s">
        <v>24</v>
      </c>
      <c r="E242">
        <v>9</v>
      </c>
      <c r="F242" s="6">
        <v>45086</v>
      </c>
      <c r="G242" s="6" t="str">
        <f>_xlfn.XLOOKUP(K:K,Products!B:B,Products!E:E," ")</f>
        <v>Home</v>
      </c>
      <c r="H242" s="6" t="str">
        <f>_xlfn.XLOOKUP(Orders!K:K,Products!B:B,Products!F:F," ")</f>
        <v>Kitchen Model 1</v>
      </c>
      <c r="I242" s="6" t="str">
        <f>_xlfn.XLOOKUP(K:K,Products!B:B,Products!C:C," ")</f>
        <v>BrandB</v>
      </c>
      <c r="J242" s="8">
        <f>_xlfn.XLOOKUP(K:K,Products!B:B,Products!D:D," ")</f>
        <v>27.76</v>
      </c>
      <c r="K242">
        <v>7</v>
      </c>
      <c r="L242" t="s">
        <v>26</v>
      </c>
      <c r="M242" t="str">
        <f>_xlfn.XLOOKUP(K:K,Products!B:B,Products!A:A," ")</f>
        <v>Kitchen</v>
      </c>
    </row>
    <row r="243" spans="1:13" x14ac:dyDescent="0.2">
      <c r="A243" t="s">
        <v>25</v>
      </c>
      <c r="B243">
        <v>298.8</v>
      </c>
      <c r="C243">
        <v>242</v>
      </c>
      <c r="D243" t="s">
        <v>24</v>
      </c>
      <c r="E243">
        <v>7</v>
      </c>
      <c r="F243" s="6">
        <v>45182</v>
      </c>
      <c r="G243" s="6" t="str">
        <f>_xlfn.XLOOKUP(K:K,Products!B:B,Products!E:E," ")</f>
        <v>Office</v>
      </c>
      <c r="H243" s="6" t="str">
        <f>_xlfn.XLOOKUP(Orders!K:K,Products!B:B,Products!F:F," ")</f>
        <v>Office Furniture Model 2</v>
      </c>
      <c r="I243" s="6" t="str">
        <f>_xlfn.XLOOKUP(K:K,Products!B:B,Products!C:C," ")</f>
        <v>BrandA</v>
      </c>
      <c r="J243" s="8">
        <f>_xlfn.XLOOKUP(K:K,Products!B:B,Products!D:D," ")</f>
        <v>59.72</v>
      </c>
      <c r="K243">
        <v>22</v>
      </c>
      <c r="L243" t="s">
        <v>29</v>
      </c>
      <c r="M243" t="str">
        <f>_xlfn.XLOOKUP(K:K,Products!B:B,Products!A:A," ")</f>
        <v>Office Furniture</v>
      </c>
    </row>
    <row r="244" spans="1:13" x14ac:dyDescent="0.2">
      <c r="A244" t="s">
        <v>25</v>
      </c>
      <c r="B244">
        <v>72.95</v>
      </c>
      <c r="C244">
        <v>243</v>
      </c>
      <c r="D244" t="s">
        <v>20</v>
      </c>
      <c r="E244">
        <v>29</v>
      </c>
      <c r="F244" s="6">
        <v>44958</v>
      </c>
      <c r="G244" s="6" t="str">
        <f>_xlfn.XLOOKUP(K:K,Products!B:B,Products!E:E," ")</f>
        <v>Electronics</v>
      </c>
      <c r="H244" s="6" t="str">
        <f>_xlfn.XLOOKUP(Orders!K:K,Products!B:B,Products!F:F," ")</f>
        <v>Smartphone Model 2</v>
      </c>
      <c r="I244" s="6" t="str">
        <f>_xlfn.XLOOKUP(K:K,Products!B:B,Products!C:C," ")</f>
        <v>BrandB</v>
      </c>
      <c r="J244" s="8">
        <f>_xlfn.XLOOKUP(K:K,Products!B:B,Products!D:D," ")</f>
        <v>43.27</v>
      </c>
      <c r="K244">
        <v>2</v>
      </c>
      <c r="L244" t="s">
        <v>29</v>
      </c>
      <c r="M244" t="str">
        <f>_xlfn.XLOOKUP(K:K,Products!B:B,Products!A:A," ")</f>
        <v>Smartphone</v>
      </c>
    </row>
    <row r="245" spans="1:13" x14ac:dyDescent="0.2">
      <c r="A245" t="s">
        <v>25</v>
      </c>
      <c r="B245">
        <v>30.42</v>
      </c>
      <c r="C245">
        <v>244</v>
      </c>
      <c r="D245" t="s">
        <v>17</v>
      </c>
      <c r="E245">
        <v>11</v>
      </c>
      <c r="F245" s="6">
        <v>45140</v>
      </c>
      <c r="G245" s="6" t="str">
        <f>_xlfn.XLOOKUP(K:K,Products!B:B,Products!E:E," ")</f>
        <v>Home</v>
      </c>
      <c r="H245" s="6" t="str">
        <f>_xlfn.XLOOKUP(Orders!K:K,Products!B:B,Products!F:F," ")</f>
        <v>Cleaning Model 1</v>
      </c>
      <c r="I245" s="6" t="str">
        <f>_xlfn.XLOOKUP(K:K,Products!B:B,Products!C:C," ")</f>
        <v>BrandD</v>
      </c>
      <c r="J245" s="8">
        <f>_xlfn.XLOOKUP(K:K,Products!B:B,Products!D:D," ")</f>
        <v>191.61</v>
      </c>
      <c r="K245">
        <v>11</v>
      </c>
      <c r="L245" t="s">
        <v>26</v>
      </c>
      <c r="M245" t="str">
        <f>_xlfn.XLOOKUP(K:K,Products!B:B,Products!A:A," ")</f>
        <v>Cleaning</v>
      </c>
    </row>
    <row r="246" spans="1:13" x14ac:dyDescent="0.2">
      <c r="A246" t="s">
        <v>16</v>
      </c>
      <c r="B246">
        <v>182.14</v>
      </c>
      <c r="C246">
        <v>245</v>
      </c>
      <c r="D246" t="s">
        <v>24</v>
      </c>
      <c r="E246">
        <v>28</v>
      </c>
      <c r="F246" s="6">
        <v>45068</v>
      </c>
      <c r="G246" s="6" t="str">
        <f>_xlfn.XLOOKUP(K:K,Products!B:B,Products!E:E," ")</f>
        <v xml:space="preserve"> </v>
      </c>
      <c r="H246" s="6" t="str">
        <f>_xlfn.XLOOKUP(Orders!K:K,Products!B:B,Products!F:F," ")</f>
        <v xml:space="preserve"> </v>
      </c>
      <c r="I246" s="6" t="str">
        <f>_xlfn.XLOOKUP(K:K,Products!B:B,Products!C:C," ")</f>
        <v xml:space="preserve"> </v>
      </c>
      <c r="J246" s="8" t="str">
        <f>_xlfn.XLOOKUP(K:K,Products!B:B,Products!D:D," ")</f>
        <v xml:space="preserve"> </v>
      </c>
      <c r="K246">
        <v>28</v>
      </c>
      <c r="L246" t="s">
        <v>27</v>
      </c>
      <c r="M246" t="str">
        <f>_xlfn.XLOOKUP(K:K,Products!B:B,Products!A:A," ")</f>
        <v xml:space="preserve"> </v>
      </c>
    </row>
    <row r="247" spans="1:13" x14ac:dyDescent="0.2">
      <c r="A247" t="s">
        <v>25</v>
      </c>
      <c r="B247">
        <v>316.83999999999997</v>
      </c>
      <c r="C247">
        <v>246</v>
      </c>
      <c r="D247" t="s">
        <v>17</v>
      </c>
      <c r="E247">
        <v>49</v>
      </c>
      <c r="F247" s="6">
        <v>45193</v>
      </c>
      <c r="G247" s="6" t="str">
        <f>_xlfn.XLOOKUP(K:K,Products!B:B,Products!E:E," ")</f>
        <v>Home</v>
      </c>
      <c r="H247" s="6" t="str">
        <f>_xlfn.XLOOKUP(Orders!K:K,Products!B:B,Products!F:F," ")</f>
        <v>Kitchen Model 2</v>
      </c>
      <c r="I247" s="6" t="str">
        <f>_xlfn.XLOOKUP(K:K,Products!B:B,Products!C:C," ")</f>
        <v>BrandC</v>
      </c>
      <c r="J247" s="8">
        <f>_xlfn.XLOOKUP(K:K,Products!B:B,Products!D:D," ")</f>
        <v>163.13999999999999</v>
      </c>
      <c r="K247">
        <v>8</v>
      </c>
      <c r="L247" t="s">
        <v>23</v>
      </c>
      <c r="M247" t="str">
        <f>_xlfn.XLOOKUP(K:K,Products!B:B,Products!A:A," ")</f>
        <v>Kitchen</v>
      </c>
    </row>
    <row r="248" spans="1:13" x14ac:dyDescent="0.2">
      <c r="A248" t="s">
        <v>21</v>
      </c>
      <c r="B248">
        <v>497.79</v>
      </c>
      <c r="C248">
        <v>247</v>
      </c>
      <c r="D248" t="s">
        <v>20</v>
      </c>
      <c r="E248">
        <v>13</v>
      </c>
      <c r="F248" s="6">
        <v>45088</v>
      </c>
      <c r="G248" s="6" t="str">
        <f>_xlfn.XLOOKUP(K:K,Products!B:B,Products!E:E," ")</f>
        <v>Sports</v>
      </c>
      <c r="H248" s="6" t="str">
        <f>_xlfn.XLOOKUP(Orders!K:K,Products!B:B,Products!F:F," ")</f>
        <v>Outdoor Model 2</v>
      </c>
      <c r="I248" s="6" t="str">
        <f>_xlfn.XLOOKUP(K:K,Products!B:B,Products!C:C," ")</f>
        <v>BrandA</v>
      </c>
      <c r="J248" s="8">
        <f>_xlfn.XLOOKUP(K:K,Products!B:B,Products!D:D," ")</f>
        <v>21.27</v>
      </c>
      <c r="K248">
        <v>16</v>
      </c>
      <c r="L248" t="s">
        <v>26</v>
      </c>
      <c r="M248" t="str">
        <f>_xlfn.XLOOKUP(K:K,Products!B:B,Products!A:A," ")</f>
        <v>Outdoor</v>
      </c>
    </row>
    <row r="249" spans="1:13" x14ac:dyDescent="0.2">
      <c r="A249" t="s">
        <v>21</v>
      </c>
      <c r="B249">
        <v>451.13</v>
      </c>
      <c r="C249">
        <v>248</v>
      </c>
      <c r="D249" t="s">
        <v>17</v>
      </c>
      <c r="E249">
        <v>50</v>
      </c>
      <c r="F249" s="6">
        <v>45166</v>
      </c>
      <c r="G249" s="6" t="str">
        <f>_xlfn.XLOOKUP(K:K,Products!B:B,Products!E:E," ")</f>
        <v xml:space="preserve"> </v>
      </c>
      <c r="H249" s="6" t="str">
        <f>_xlfn.XLOOKUP(Orders!K:K,Products!B:B,Products!F:F," ")</f>
        <v xml:space="preserve"> </v>
      </c>
      <c r="I249" s="6" t="str">
        <f>_xlfn.XLOOKUP(K:K,Products!B:B,Products!C:C," ")</f>
        <v xml:space="preserve"> </v>
      </c>
      <c r="J249" s="8" t="str">
        <f>_xlfn.XLOOKUP(K:K,Products!B:B,Products!D:D," ")</f>
        <v xml:space="preserve"> </v>
      </c>
      <c r="K249">
        <v>28</v>
      </c>
      <c r="L249" t="s">
        <v>28</v>
      </c>
      <c r="M249" t="str">
        <f>_xlfn.XLOOKUP(K:K,Products!B:B,Products!A:A," ")</f>
        <v xml:space="preserve"> </v>
      </c>
    </row>
    <row r="250" spans="1:13" x14ac:dyDescent="0.2">
      <c r="A250" t="s">
        <v>25</v>
      </c>
      <c r="B250">
        <v>167.21</v>
      </c>
      <c r="C250">
        <v>249</v>
      </c>
      <c r="D250" t="s">
        <v>20</v>
      </c>
      <c r="E250">
        <v>13</v>
      </c>
      <c r="F250" s="6">
        <v>44967</v>
      </c>
      <c r="G250" s="6" t="str">
        <f>_xlfn.XLOOKUP(K:K,Products!B:B,Products!E:E," ")</f>
        <v>Sports</v>
      </c>
      <c r="H250" s="6" t="str">
        <f>_xlfn.XLOOKUP(Orders!K:K,Products!B:B,Products!F:F," ")</f>
        <v>Outdoor Model 1</v>
      </c>
      <c r="I250" s="6" t="str">
        <f>_xlfn.XLOOKUP(K:K,Products!B:B,Products!C:C," ")</f>
        <v>BrandD</v>
      </c>
      <c r="J250" s="8">
        <f>_xlfn.XLOOKUP(K:K,Products!B:B,Products!D:D," ")</f>
        <v>223.53</v>
      </c>
      <c r="K250">
        <v>15</v>
      </c>
      <c r="L250" t="s">
        <v>18</v>
      </c>
      <c r="M250" t="str">
        <f>_xlfn.XLOOKUP(K:K,Products!B:B,Products!A:A," ")</f>
        <v>Outdoor</v>
      </c>
    </row>
    <row r="251" spans="1:13" x14ac:dyDescent="0.2">
      <c r="A251" t="s">
        <v>25</v>
      </c>
      <c r="B251">
        <v>214.41</v>
      </c>
      <c r="C251">
        <v>250</v>
      </c>
      <c r="D251" t="s">
        <v>22</v>
      </c>
      <c r="E251">
        <v>39</v>
      </c>
      <c r="F251" s="6">
        <v>45031</v>
      </c>
      <c r="G251" s="6" t="str">
        <f>_xlfn.XLOOKUP(K:K,Products!B:B,Products!E:E," ")</f>
        <v>Sports</v>
      </c>
      <c r="H251" s="6" t="str">
        <f>_xlfn.XLOOKUP(Orders!K:K,Products!B:B,Products!F:F," ")</f>
        <v>Outdoor Model 2</v>
      </c>
      <c r="I251" s="6" t="str">
        <f>_xlfn.XLOOKUP(K:K,Products!B:B,Products!C:C," ")</f>
        <v>BrandA</v>
      </c>
      <c r="J251" s="8">
        <f>_xlfn.XLOOKUP(K:K,Products!B:B,Products!D:D," ")</f>
        <v>21.27</v>
      </c>
      <c r="K251">
        <v>16</v>
      </c>
      <c r="L251" t="s">
        <v>18</v>
      </c>
      <c r="M251" t="str">
        <f>_xlfn.XLOOKUP(K:K,Products!B:B,Products!A:A," ")</f>
        <v>Outdoor</v>
      </c>
    </row>
    <row r="252" spans="1:13" x14ac:dyDescent="0.2">
      <c r="A252" t="s">
        <v>19</v>
      </c>
      <c r="B252">
        <v>299.83</v>
      </c>
      <c r="C252">
        <v>251</v>
      </c>
      <c r="D252" t="s">
        <v>22</v>
      </c>
      <c r="E252">
        <v>12</v>
      </c>
      <c r="F252" s="6">
        <v>45005</v>
      </c>
      <c r="G252" s="6" t="str">
        <f>_xlfn.XLOOKUP(K:K,Products!B:B,Products!E:E," ")</f>
        <v>Office</v>
      </c>
      <c r="H252" s="6" t="str">
        <f>_xlfn.XLOOKUP(Orders!K:K,Products!B:B,Products!F:F," ")</f>
        <v>Stationery Model 2</v>
      </c>
      <c r="I252" s="6" t="str">
        <f>_xlfn.XLOOKUP(K:K,Products!B:B,Products!C:C," ")</f>
        <v>BrandC</v>
      </c>
      <c r="J252" s="8">
        <f>_xlfn.XLOOKUP(K:K,Products!B:B,Products!D:D," ")</f>
        <v>170.2</v>
      </c>
      <c r="K252">
        <v>20</v>
      </c>
      <c r="L252" t="s">
        <v>23</v>
      </c>
      <c r="M252" t="str">
        <f>_xlfn.XLOOKUP(K:K,Products!B:B,Products!A:A," ")</f>
        <v>Stationery</v>
      </c>
    </row>
    <row r="253" spans="1:13" x14ac:dyDescent="0.2">
      <c r="A253" t="s">
        <v>25</v>
      </c>
      <c r="B253">
        <v>261.85000000000002</v>
      </c>
      <c r="C253">
        <v>252</v>
      </c>
      <c r="D253" t="s">
        <v>20</v>
      </c>
      <c r="E253">
        <v>30</v>
      </c>
      <c r="F253" s="6">
        <v>45141</v>
      </c>
      <c r="G253" s="6" t="str">
        <f>_xlfn.XLOOKUP(K:K,Products!B:B,Products!E:E," ")</f>
        <v>Sports</v>
      </c>
      <c r="H253" s="6" t="str">
        <f>_xlfn.XLOOKUP(Orders!K:K,Products!B:B,Products!F:F," ")</f>
        <v>Clothing Model 2</v>
      </c>
      <c r="I253" s="6" t="str">
        <f>_xlfn.XLOOKUP(K:K,Products!B:B,Products!C:C," ")</f>
        <v>BrandB</v>
      </c>
      <c r="J253" s="8">
        <f>_xlfn.XLOOKUP(K:K,Products!B:B,Products!D:D," ")</f>
        <v>247.45</v>
      </c>
      <c r="K253">
        <v>18</v>
      </c>
      <c r="L253" t="s">
        <v>29</v>
      </c>
      <c r="M253" t="str">
        <f>_xlfn.XLOOKUP(K:K,Products!B:B,Products!A:A," ")</f>
        <v>Clothing</v>
      </c>
    </row>
    <row r="254" spans="1:13" x14ac:dyDescent="0.2">
      <c r="A254" t="s">
        <v>19</v>
      </c>
      <c r="B254">
        <v>281.04000000000002</v>
      </c>
      <c r="C254">
        <v>253</v>
      </c>
      <c r="D254" t="s">
        <v>17</v>
      </c>
      <c r="E254">
        <v>13</v>
      </c>
      <c r="F254" s="6">
        <v>45131</v>
      </c>
      <c r="G254" s="6" t="str">
        <f>_xlfn.XLOOKUP(K:K,Products!B:B,Products!E:E," ")</f>
        <v>Office</v>
      </c>
      <c r="H254" s="6" t="str">
        <f>_xlfn.XLOOKUP(Orders!K:K,Products!B:B,Products!F:F," ")</f>
        <v>Printers Model 2</v>
      </c>
      <c r="I254" s="6" t="str">
        <f>_xlfn.XLOOKUP(K:K,Products!B:B,Products!C:C," ")</f>
        <v>BrandA</v>
      </c>
      <c r="J254" s="8">
        <f>_xlfn.XLOOKUP(K:K,Products!B:B,Products!D:D," ")</f>
        <v>272.52</v>
      </c>
      <c r="K254">
        <v>24</v>
      </c>
      <c r="L254" t="s">
        <v>18</v>
      </c>
      <c r="M254" t="str">
        <f>_xlfn.XLOOKUP(K:K,Products!B:B,Products!A:A," ")</f>
        <v>Printers</v>
      </c>
    </row>
    <row r="255" spans="1:13" x14ac:dyDescent="0.2">
      <c r="A255" t="s">
        <v>21</v>
      </c>
      <c r="B255">
        <v>126.9</v>
      </c>
      <c r="C255">
        <v>254</v>
      </c>
      <c r="D255" t="s">
        <v>24</v>
      </c>
      <c r="E255">
        <v>43</v>
      </c>
      <c r="F255" s="6">
        <v>45270</v>
      </c>
      <c r="G255" s="6" t="str">
        <f>_xlfn.XLOOKUP(K:K,Products!B:B,Products!E:E," ")</f>
        <v>Electronics</v>
      </c>
      <c r="H255" s="6" t="str">
        <f>_xlfn.XLOOKUP(Orders!K:K,Products!B:B,Products!F:F," ")</f>
        <v>Smartphone Model 1</v>
      </c>
      <c r="I255" s="6" t="str">
        <f>_xlfn.XLOOKUP(K:K,Products!B:B,Products!C:C," ")</f>
        <v>BrandC</v>
      </c>
      <c r="J255" s="8">
        <f>_xlfn.XLOOKUP(K:K,Products!B:B,Products!D:D," ")</f>
        <v>285.64999999999998</v>
      </c>
      <c r="K255">
        <v>1</v>
      </c>
      <c r="L255" t="s">
        <v>27</v>
      </c>
      <c r="M255" t="str">
        <f>_xlfn.XLOOKUP(K:K,Products!B:B,Products!A:A," ")</f>
        <v>Smartphone</v>
      </c>
    </row>
    <row r="256" spans="1:13" x14ac:dyDescent="0.2">
      <c r="A256" t="s">
        <v>25</v>
      </c>
      <c r="B256">
        <v>300.45999999999998</v>
      </c>
      <c r="C256">
        <v>255</v>
      </c>
      <c r="D256" t="s">
        <v>17</v>
      </c>
      <c r="E256">
        <v>37</v>
      </c>
      <c r="F256" s="6">
        <v>44999</v>
      </c>
      <c r="G256" s="6" t="str">
        <f>_xlfn.XLOOKUP(K:K,Products!B:B,Products!E:E," ")</f>
        <v xml:space="preserve"> </v>
      </c>
      <c r="H256" s="6" t="str">
        <f>_xlfn.XLOOKUP(Orders!K:K,Products!B:B,Products!F:F," ")</f>
        <v xml:space="preserve"> </v>
      </c>
      <c r="I256" s="6" t="str">
        <f>_xlfn.XLOOKUP(K:K,Products!B:B,Products!C:C," ")</f>
        <v xml:space="preserve"> </v>
      </c>
      <c r="J256" s="8" t="str">
        <f>_xlfn.XLOOKUP(K:K,Products!B:B,Products!D:D," ")</f>
        <v xml:space="preserve"> </v>
      </c>
      <c r="K256">
        <v>30</v>
      </c>
      <c r="L256" t="s">
        <v>23</v>
      </c>
      <c r="M256" t="str">
        <f>_xlfn.XLOOKUP(K:K,Products!B:B,Products!A:A," ")</f>
        <v xml:space="preserve"> </v>
      </c>
    </row>
    <row r="257" spans="1:13" x14ac:dyDescent="0.2">
      <c r="A257" t="s">
        <v>16</v>
      </c>
      <c r="B257">
        <v>69.67</v>
      </c>
      <c r="C257">
        <v>256</v>
      </c>
      <c r="D257" t="s">
        <v>20</v>
      </c>
      <c r="E257">
        <v>50</v>
      </c>
      <c r="F257" s="6">
        <v>45190</v>
      </c>
      <c r="G257" s="6" t="str">
        <f>_xlfn.XLOOKUP(K:K,Products!B:B,Products!E:E," ")</f>
        <v>Electronics</v>
      </c>
      <c r="H257" s="6" t="str">
        <f>_xlfn.XLOOKUP(Orders!K:K,Products!B:B,Products!F:F," ")</f>
        <v>Tablet Model 1</v>
      </c>
      <c r="I257" s="6" t="str">
        <f>_xlfn.XLOOKUP(K:K,Products!B:B,Products!C:C," ")</f>
        <v>BrandD</v>
      </c>
      <c r="J257" s="8">
        <f>_xlfn.XLOOKUP(K:K,Products!B:B,Products!D:D," ")</f>
        <v>55.43</v>
      </c>
      <c r="K257">
        <v>5</v>
      </c>
      <c r="L257" t="s">
        <v>23</v>
      </c>
      <c r="M257" t="str">
        <f>_xlfn.XLOOKUP(K:K,Products!B:B,Products!A:A," ")</f>
        <v>Tablet</v>
      </c>
    </row>
    <row r="258" spans="1:13" x14ac:dyDescent="0.2">
      <c r="A258" t="s">
        <v>21</v>
      </c>
      <c r="B258">
        <v>207.19</v>
      </c>
      <c r="C258">
        <v>257</v>
      </c>
      <c r="D258" t="s">
        <v>17</v>
      </c>
      <c r="E258">
        <v>28</v>
      </c>
      <c r="F258" s="6">
        <v>44964</v>
      </c>
      <c r="G258" s="6" t="str">
        <f>_xlfn.XLOOKUP(K:K,Products!B:B,Products!E:E," ")</f>
        <v>Electronics</v>
      </c>
      <c r="H258" s="6" t="str">
        <f>_xlfn.XLOOKUP(Orders!K:K,Products!B:B,Products!F:F," ")</f>
        <v>Smartphone Model 1</v>
      </c>
      <c r="I258" s="6" t="str">
        <f>_xlfn.XLOOKUP(K:K,Products!B:B,Products!C:C," ")</f>
        <v>BrandC</v>
      </c>
      <c r="J258" s="8">
        <f>_xlfn.XLOOKUP(K:K,Products!B:B,Products!D:D," ")</f>
        <v>285.64999999999998</v>
      </c>
      <c r="K258">
        <v>1</v>
      </c>
      <c r="L258" t="s">
        <v>29</v>
      </c>
      <c r="M258" t="str">
        <f>_xlfn.XLOOKUP(K:K,Products!B:B,Products!A:A," ")</f>
        <v>Smartphone</v>
      </c>
    </row>
    <row r="259" spans="1:13" x14ac:dyDescent="0.2">
      <c r="A259" t="s">
        <v>21</v>
      </c>
      <c r="B259">
        <v>156.19999999999999</v>
      </c>
      <c r="C259">
        <v>258</v>
      </c>
      <c r="D259" t="s">
        <v>24</v>
      </c>
      <c r="E259">
        <v>45</v>
      </c>
      <c r="F259" s="6">
        <v>45045</v>
      </c>
      <c r="G259" s="6" t="str">
        <f>_xlfn.XLOOKUP(K:K,Products!B:B,Products!E:E," ")</f>
        <v>Electronics</v>
      </c>
      <c r="H259" s="6" t="str">
        <f>_xlfn.XLOOKUP(Orders!K:K,Products!B:B,Products!F:F," ")</f>
        <v>Laptop Model 1</v>
      </c>
      <c r="I259" s="6" t="str">
        <f>_xlfn.XLOOKUP(K:K,Products!B:B,Products!C:C," ")</f>
        <v>BrandB</v>
      </c>
      <c r="J259" s="8">
        <f>_xlfn.XLOOKUP(K:K,Products!B:B,Products!D:D," ")</f>
        <v>251.46</v>
      </c>
      <c r="K259">
        <v>3</v>
      </c>
      <c r="L259" t="s">
        <v>28</v>
      </c>
      <c r="M259" t="str">
        <f>_xlfn.XLOOKUP(K:K,Products!B:B,Products!A:A," ")</f>
        <v>Laptop</v>
      </c>
    </row>
    <row r="260" spans="1:13" x14ac:dyDescent="0.2">
      <c r="A260" t="s">
        <v>21</v>
      </c>
      <c r="B260">
        <v>118.2</v>
      </c>
      <c r="C260">
        <v>259</v>
      </c>
      <c r="D260" t="s">
        <v>20</v>
      </c>
      <c r="E260">
        <v>4</v>
      </c>
      <c r="F260" s="6">
        <v>45249</v>
      </c>
      <c r="G260" s="6" t="str">
        <f>_xlfn.XLOOKUP(K:K,Products!B:B,Products!E:E," ")</f>
        <v>Sports</v>
      </c>
      <c r="H260" s="6" t="str">
        <f>_xlfn.XLOOKUP(Orders!K:K,Products!B:B,Products!F:F," ")</f>
        <v>Clothing Model 2</v>
      </c>
      <c r="I260" s="6" t="str">
        <f>_xlfn.XLOOKUP(K:K,Products!B:B,Products!C:C," ")</f>
        <v>BrandB</v>
      </c>
      <c r="J260" s="8">
        <f>_xlfn.XLOOKUP(K:K,Products!B:B,Products!D:D," ")</f>
        <v>247.45</v>
      </c>
      <c r="K260">
        <v>18</v>
      </c>
      <c r="L260" t="s">
        <v>29</v>
      </c>
      <c r="M260" t="str">
        <f>_xlfn.XLOOKUP(K:K,Products!B:B,Products!A:A," ")</f>
        <v>Clothing</v>
      </c>
    </row>
    <row r="261" spans="1:13" x14ac:dyDescent="0.2">
      <c r="A261" t="s">
        <v>25</v>
      </c>
      <c r="B261">
        <v>22.11</v>
      </c>
      <c r="C261">
        <v>260</v>
      </c>
      <c r="D261" t="s">
        <v>22</v>
      </c>
      <c r="E261">
        <v>8</v>
      </c>
      <c r="F261" s="6">
        <v>45150</v>
      </c>
      <c r="G261" s="6" t="str">
        <f>_xlfn.XLOOKUP(K:K,Products!B:B,Products!E:E," ")</f>
        <v>Office</v>
      </c>
      <c r="H261" s="6" t="str">
        <f>_xlfn.XLOOKUP(Orders!K:K,Products!B:B,Products!F:F," ")</f>
        <v>Stationery Model 2</v>
      </c>
      <c r="I261" s="6" t="str">
        <f>_xlfn.XLOOKUP(K:K,Products!B:B,Products!C:C," ")</f>
        <v>BrandC</v>
      </c>
      <c r="J261" s="8">
        <f>_xlfn.XLOOKUP(K:K,Products!B:B,Products!D:D," ")</f>
        <v>170.2</v>
      </c>
      <c r="K261">
        <v>20</v>
      </c>
      <c r="L261" t="s">
        <v>26</v>
      </c>
      <c r="M261" t="str">
        <f>_xlfn.XLOOKUP(K:K,Products!B:B,Products!A:A," ")</f>
        <v>Stationery</v>
      </c>
    </row>
    <row r="262" spans="1:13" x14ac:dyDescent="0.2">
      <c r="A262" t="s">
        <v>19</v>
      </c>
      <c r="B262">
        <v>494.85</v>
      </c>
      <c r="C262">
        <v>261</v>
      </c>
      <c r="D262" t="s">
        <v>24</v>
      </c>
      <c r="E262">
        <v>11</v>
      </c>
      <c r="F262" s="6">
        <v>45115</v>
      </c>
      <c r="G262" s="6" t="str">
        <f>_xlfn.XLOOKUP(K:K,Products!B:B,Products!E:E," ")</f>
        <v>Home</v>
      </c>
      <c r="H262" s="6" t="str">
        <f>_xlfn.XLOOKUP(Orders!K:K,Products!B:B,Products!F:F," ")</f>
        <v>Kitchen Model 2</v>
      </c>
      <c r="I262" s="6" t="str">
        <f>_xlfn.XLOOKUP(K:K,Products!B:B,Products!C:C," ")</f>
        <v>BrandC</v>
      </c>
      <c r="J262" s="8">
        <f>_xlfn.XLOOKUP(K:K,Products!B:B,Products!D:D," ")</f>
        <v>163.13999999999999</v>
      </c>
      <c r="K262">
        <v>8</v>
      </c>
      <c r="L262" t="s">
        <v>28</v>
      </c>
      <c r="M262" t="str">
        <f>_xlfn.XLOOKUP(K:K,Products!B:B,Products!A:A," ")</f>
        <v>Kitchen</v>
      </c>
    </row>
    <row r="263" spans="1:13" x14ac:dyDescent="0.2">
      <c r="A263" t="s">
        <v>21</v>
      </c>
      <c r="B263">
        <v>141.49</v>
      </c>
      <c r="C263">
        <v>262</v>
      </c>
      <c r="D263" t="s">
        <v>22</v>
      </c>
      <c r="E263">
        <v>8</v>
      </c>
      <c r="F263" s="6">
        <v>45149</v>
      </c>
      <c r="G263" s="6" t="str">
        <f>_xlfn.XLOOKUP(K:K,Products!B:B,Products!E:E," ")</f>
        <v xml:space="preserve"> </v>
      </c>
      <c r="H263" s="6" t="str">
        <f>_xlfn.XLOOKUP(Orders!K:K,Products!B:B,Products!F:F," ")</f>
        <v xml:space="preserve"> </v>
      </c>
      <c r="I263" s="6" t="str">
        <f>_xlfn.XLOOKUP(K:K,Products!B:B,Products!C:C," ")</f>
        <v xml:space="preserve"> </v>
      </c>
      <c r="J263" s="8" t="str">
        <f>_xlfn.XLOOKUP(K:K,Products!B:B,Products!D:D," ")</f>
        <v xml:space="preserve"> </v>
      </c>
      <c r="K263">
        <v>28</v>
      </c>
      <c r="L263" t="s">
        <v>28</v>
      </c>
      <c r="M263" t="str">
        <f>_xlfn.XLOOKUP(K:K,Products!B:B,Products!A:A," ")</f>
        <v xml:space="preserve"> </v>
      </c>
    </row>
    <row r="264" spans="1:13" x14ac:dyDescent="0.2">
      <c r="A264" t="s">
        <v>16</v>
      </c>
      <c r="B264">
        <v>119.14</v>
      </c>
      <c r="C264">
        <v>263</v>
      </c>
      <c r="D264" t="s">
        <v>17</v>
      </c>
      <c r="E264">
        <v>18</v>
      </c>
      <c r="F264" s="6">
        <v>45220</v>
      </c>
      <c r="G264" s="6" t="str">
        <f>_xlfn.XLOOKUP(K:K,Products!B:B,Products!E:E," ")</f>
        <v>Electronics</v>
      </c>
      <c r="H264" s="6" t="str">
        <f>_xlfn.XLOOKUP(Orders!K:K,Products!B:B,Products!F:F," ")</f>
        <v>Smartphone Model 2</v>
      </c>
      <c r="I264" s="6" t="str">
        <f>_xlfn.XLOOKUP(K:K,Products!B:B,Products!C:C," ")</f>
        <v>BrandB</v>
      </c>
      <c r="J264" s="8">
        <f>_xlfn.XLOOKUP(K:K,Products!B:B,Products!D:D," ")</f>
        <v>43.27</v>
      </c>
      <c r="K264">
        <v>2</v>
      </c>
      <c r="L264" t="s">
        <v>18</v>
      </c>
      <c r="M264" t="str">
        <f>_xlfn.XLOOKUP(K:K,Products!B:B,Products!A:A," ")</f>
        <v>Smartphone</v>
      </c>
    </row>
    <row r="265" spans="1:13" x14ac:dyDescent="0.2">
      <c r="A265" t="s">
        <v>19</v>
      </c>
      <c r="B265">
        <v>159.75</v>
      </c>
      <c r="C265">
        <v>264</v>
      </c>
      <c r="D265" t="s">
        <v>20</v>
      </c>
      <c r="E265">
        <v>15</v>
      </c>
      <c r="F265" s="6">
        <v>45172</v>
      </c>
      <c r="G265" s="6" t="str">
        <f>_xlfn.XLOOKUP(K:K,Products!B:B,Products!E:E," ")</f>
        <v>Office</v>
      </c>
      <c r="H265" s="6" t="str">
        <f>_xlfn.XLOOKUP(Orders!K:K,Products!B:B,Products!F:F," ")</f>
        <v>Printers Model 1</v>
      </c>
      <c r="I265" s="6" t="str">
        <f>_xlfn.XLOOKUP(K:K,Products!B:B,Products!C:C," ")</f>
        <v>BrandA</v>
      </c>
      <c r="J265" s="8">
        <f>_xlfn.XLOOKUP(K:K,Products!B:B,Products!D:D," ")</f>
        <v>36.47</v>
      </c>
      <c r="K265">
        <v>23</v>
      </c>
      <c r="L265" t="s">
        <v>28</v>
      </c>
      <c r="M265" t="str">
        <f>_xlfn.XLOOKUP(K:K,Products!B:B,Products!A:A," ")</f>
        <v>Printers</v>
      </c>
    </row>
    <row r="266" spans="1:13" x14ac:dyDescent="0.2">
      <c r="A266" t="s">
        <v>19</v>
      </c>
      <c r="B266">
        <v>94.22</v>
      </c>
      <c r="C266">
        <v>265</v>
      </c>
      <c r="D266" t="s">
        <v>24</v>
      </c>
      <c r="E266">
        <v>39</v>
      </c>
      <c r="F266" s="6">
        <v>45242</v>
      </c>
      <c r="G266" s="6" t="str">
        <f>_xlfn.XLOOKUP(K:K,Products!B:B,Products!E:E," ")</f>
        <v>Sports</v>
      </c>
      <c r="H266" s="6" t="str">
        <f>_xlfn.XLOOKUP(Orders!K:K,Products!B:B,Products!F:F," ")</f>
        <v>Clothing Model 1</v>
      </c>
      <c r="I266" s="6" t="str">
        <f>_xlfn.XLOOKUP(K:K,Products!B:B,Products!C:C," ")</f>
        <v>BrandD</v>
      </c>
      <c r="J266" s="8">
        <f>_xlfn.XLOOKUP(K:K,Products!B:B,Products!D:D," ")</f>
        <v>111.57</v>
      </c>
      <c r="K266">
        <v>17</v>
      </c>
      <c r="L266" t="s">
        <v>26</v>
      </c>
      <c r="M266" t="str">
        <f>_xlfn.XLOOKUP(K:K,Products!B:B,Products!A:A," ")</f>
        <v>Clothing</v>
      </c>
    </row>
    <row r="267" spans="1:13" x14ac:dyDescent="0.2">
      <c r="A267" t="s">
        <v>25</v>
      </c>
      <c r="B267">
        <v>325.69</v>
      </c>
      <c r="C267">
        <v>266</v>
      </c>
      <c r="D267" t="s">
        <v>24</v>
      </c>
      <c r="E267">
        <v>5</v>
      </c>
      <c r="F267" s="6">
        <v>45035</v>
      </c>
      <c r="G267" s="6" t="str">
        <f>_xlfn.XLOOKUP(K:K,Products!B:B,Products!E:E," ")</f>
        <v xml:space="preserve"> </v>
      </c>
      <c r="H267" s="6" t="str">
        <f>_xlfn.XLOOKUP(Orders!K:K,Products!B:B,Products!F:F," ")</f>
        <v xml:space="preserve"> </v>
      </c>
      <c r="I267" s="6" t="str">
        <f>_xlfn.XLOOKUP(K:K,Products!B:B,Products!C:C," ")</f>
        <v xml:space="preserve"> </v>
      </c>
      <c r="J267" s="8" t="str">
        <f>_xlfn.XLOOKUP(K:K,Products!B:B,Products!D:D," ")</f>
        <v xml:space="preserve"> </v>
      </c>
      <c r="K267">
        <v>27</v>
      </c>
      <c r="L267" t="s">
        <v>23</v>
      </c>
      <c r="M267" t="str">
        <f>_xlfn.XLOOKUP(K:K,Products!B:B,Products!A:A," ")</f>
        <v xml:space="preserve"> </v>
      </c>
    </row>
    <row r="268" spans="1:13" x14ac:dyDescent="0.2">
      <c r="A268" t="s">
        <v>21</v>
      </c>
      <c r="B268">
        <v>53.84</v>
      </c>
      <c r="C268">
        <v>267</v>
      </c>
      <c r="D268" t="s">
        <v>20</v>
      </c>
      <c r="E268">
        <v>6</v>
      </c>
      <c r="F268" s="6">
        <v>45059</v>
      </c>
      <c r="G268" s="6" t="str">
        <f>_xlfn.XLOOKUP(K:K,Products!B:B,Products!E:E," ")</f>
        <v>Sports</v>
      </c>
      <c r="H268" s="6" t="str">
        <f>_xlfn.XLOOKUP(Orders!K:K,Products!B:B,Products!F:F," ")</f>
        <v>Clothing Model 2</v>
      </c>
      <c r="I268" s="6" t="str">
        <f>_xlfn.XLOOKUP(K:K,Products!B:B,Products!C:C," ")</f>
        <v>BrandB</v>
      </c>
      <c r="J268" s="8">
        <f>_xlfn.XLOOKUP(K:K,Products!B:B,Products!D:D," ")</f>
        <v>247.45</v>
      </c>
      <c r="K268">
        <v>18</v>
      </c>
      <c r="L268" t="s">
        <v>18</v>
      </c>
      <c r="M268" t="str">
        <f>_xlfn.XLOOKUP(K:K,Products!B:B,Products!A:A," ")</f>
        <v>Clothing</v>
      </c>
    </row>
    <row r="269" spans="1:13" x14ac:dyDescent="0.2">
      <c r="A269" t="s">
        <v>21</v>
      </c>
      <c r="B269">
        <v>133.57</v>
      </c>
      <c r="C269">
        <v>268</v>
      </c>
      <c r="D269" t="s">
        <v>22</v>
      </c>
      <c r="E269">
        <v>42</v>
      </c>
      <c r="F269" s="6">
        <v>45158</v>
      </c>
      <c r="G269" s="6" t="str">
        <f>_xlfn.XLOOKUP(K:K,Products!B:B,Products!E:E," ")</f>
        <v>Sports</v>
      </c>
      <c r="H269" s="6" t="str">
        <f>_xlfn.XLOOKUP(Orders!K:K,Products!B:B,Products!F:F," ")</f>
        <v>Clothing Model 1</v>
      </c>
      <c r="I269" s="6" t="str">
        <f>_xlfn.XLOOKUP(K:K,Products!B:B,Products!C:C," ")</f>
        <v>BrandD</v>
      </c>
      <c r="J269" s="8">
        <f>_xlfn.XLOOKUP(K:K,Products!B:B,Products!D:D," ")</f>
        <v>111.57</v>
      </c>
      <c r="K269">
        <v>17</v>
      </c>
      <c r="L269" t="s">
        <v>18</v>
      </c>
      <c r="M269" t="str">
        <f>_xlfn.XLOOKUP(K:K,Products!B:B,Products!A:A," ")</f>
        <v>Clothing</v>
      </c>
    </row>
    <row r="270" spans="1:13" x14ac:dyDescent="0.2">
      <c r="A270" t="s">
        <v>25</v>
      </c>
      <c r="B270">
        <v>225.64</v>
      </c>
      <c r="C270">
        <v>269</v>
      </c>
      <c r="D270" t="s">
        <v>22</v>
      </c>
      <c r="E270">
        <v>2</v>
      </c>
      <c r="F270" s="6">
        <v>45117</v>
      </c>
      <c r="G270" s="6" t="str">
        <f>_xlfn.XLOOKUP(K:K,Products!B:B,Products!E:E," ")</f>
        <v xml:space="preserve"> </v>
      </c>
      <c r="H270" s="6" t="str">
        <f>_xlfn.XLOOKUP(Orders!K:K,Products!B:B,Products!F:F," ")</f>
        <v xml:space="preserve"> </v>
      </c>
      <c r="I270" s="6" t="str">
        <f>_xlfn.XLOOKUP(K:K,Products!B:B,Products!C:C," ")</f>
        <v xml:space="preserve"> </v>
      </c>
      <c r="J270" s="8" t="str">
        <f>_xlfn.XLOOKUP(K:K,Products!B:B,Products!D:D," ")</f>
        <v xml:space="preserve"> </v>
      </c>
      <c r="K270">
        <v>28</v>
      </c>
      <c r="L270" t="s">
        <v>26</v>
      </c>
      <c r="M270" t="str">
        <f>_xlfn.XLOOKUP(K:K,Products!B:B,Products!A:A," ")</f>
        <v xml:space="preserve"> </v>
      </c>
    </row>
    <row r="271" spans="1:13" x14ac:dyDescent="0.2">
      <c r="A271" t="s">
        <v>21</v>
      </c>
      <c r="B271">
        <v>418.58</v>
      </c>
      <c r="C271">
        <v>270</v>
      </c>
      <c r="D271" t="s">
        <v>22</v>
      </c>
      <c r="E271">
        <v>41</v>
      </c>
      <c r="F271" s="6">
        <v>45014</v>
      </c>
      <c r="G271" s="6" t="str">
        <f>_xlfn.XLOOKUP(K:K,Products!B:B,Products!E:E," ")</f>
        <v>Electronics</v>
      </c>
      <c r="H271" s="6" t="str">
        <f>_xlfn.XLOOKUP(Orders!K:K,Products!B:B,Products!F:F," ")</f>
        <v>Laptop Model 1</v>
      </c>
      <c r="I271" s="6" t="str">
        <f>_xlfn.XLOOKUP(K:K,Products!B:B,Products!C:C," ")</f>
        <v>BrandB</v>
      </c>
      <c r="J271" s="8">
        <f>_xlfn.XLOOKUP(K:K,Products!B:B,Products!D:D," ")</f>
        <v>251.46</v>
      </c>
      <c r="K271">
        <v>3</v>
      </c>
      <c r="L271" t="s">
        <v>26</v>
      </c>
      <c r="M271" t="str">
        <f>_xlfn.XLOOKUP(K:K,Products!B:B,Products!A:A," ")</f>
        <v>Laptop</v>
      </c>
    </row>
    <row r="272" spans="1:13" x14ac:dyDescent="0.2">
      <c r="A272" t="s">
        <v>19</v>
      </c>
      <c r="B272">
        <v>181.69</v>
      </c>
      <c r="C272">
        <v>271</v>
      </c>
      <c r="D272" t="s">
        <v>22</v>
      </c>
      <c r="E272">
        <v>33</v>
      </c>
      <c r="F272" s="6">
        <v>45283</v>
      </c>
      <c r="G272" s="6" t="str">
        <f>_xlfn.XLOOKUP(K:K,Products!B:B,Products!E:E," ")</f>
        <v>Office</v>
      </c>
      <c r="H272" s="6" t="str">
        <f>_xlfn.XLOOKUP(Orders!K:K,Products!B:B,Products!F:F," ")</f>
        <v>Printers Model 1</v>
      </c>
      <c r="I272" s="6" t="str">
        <f>_xlfn.XLOOKUP(K:K,Products!B:B,Products!C:C," ")</f>
        <v>BrandA</v>
      </c>
      <c r="J272" s="8">
        <f>_xlfn.XLOOKUP(K:K,Products!B:B,Products!D:D," ")</f>
        <v>36.47</v>
      </c>
      <c r="K272">
        <v>23</v>
      </c>
      <c r="L272" t="s">
        <v>18</v>
      </c>
      <c r="M272" t="str">
        <f>_xlfn.XLOOKUP(K:K,Products!B:B,Products!A:A," ")</f>
        <v>Printers</v>
      </c>
    </row>
    <row r="273" spans="1:13" x14ac:dyDescent="0.2">
      <c r="A273" t="s">
        <v>25</v>
      </c>
      <c r="B273">
        <v>366.88</v>
      </c>
      <c r="C273">
        <v>272</v>
      </c>
      <c r="D273" t="s">
        <v>17</v>
      </c>
      <c r="E273">
        <v>21</v>
      </c>
      <c r="F273" s="6">
        <v>44930</v>
      </c>
      <c r="G273" s="6" t="str">
        <f>_xlfn.XLOOKUP(K:K,Products!B:B,Products!E:E," ")</f>
        <v>Home</v>
      </c>
      <c r="H273" s="6" t="str">
        <f>_xlfn.XLOOKUP(Orders!K:K,Products!B:B,Products!F:F," ")</f>
        <v>Kitchen Model 2</v>
      </c>
      <c r="I273" s="6" t="str">
        <f>_xlfn.XLOOKUP(K:K,Products!B:B,Products!C:C," ")</f>
        <v>BrandC</v>
      </c>
      <c r="J273" s="8">
        <f>_xlfn.XLOOKUP(K:K,Products!B:B,Products!D:D," ")</f>
        <v>163.13999999999999</v>
      </c>
      <c r="K273">
        <v>8</v>
      </c>
      <c r="L273" t="s">
        <v>29</v>
      </c>
      <c r="M273" t="str">
        <f>_xlfn.XLOOKUP(K:K,Products!B:B,Products!A:A," ")</f>
        <v>Kitchen</v>
      </c>
    </row>
    <row r="274" spans="1:13" x14ac:dyDescent="0.2">
      <c r="A274" t="s">
        <v>21</v>
      </c>
      <c r="B274">
        <v>16.97</v>
      </c>
      <c r="C274">
        <v>273</v>
      </c>
      <c r="D274" t="s">
        <v>24</v>
      </c>
      <c r="E274">
        <v>29</v>
      </c>
      <c r="F274" s="6">
        <v>45129</v>
      </c>
      <c r="G274" s="6" t="str">
        <f>_xlfn.XLOOKUP(K:K,Products!B:B,Products!E:E," ")</f>
        <v>Office</v>
      </c>
      <c r="H274" s="6" t="str">
        <f>_xlfn.XLOOKUP(Orders!K:K,Products!B:B,Products!F:F," ")</f>
        <v>Stationery Model 1</v>
      </c>
      <c r="I274" s="6" t="str">
        <f>_xlfn.XLOOKUP(K:K,Products!B:B,Products!C:C," ")</f>
        <v>BrandB</v>
      </c>
      <c r="J274" s="8">
        <f>_xlfn.XLOOKUP(K:K,Products!B:B,Products!D:D," ")</f>
        <v>73</v>
      </c>
      <c r="K274">
        <v>19</v>
      </c>
      <c r="L274" t="s">
        <v>28</v>
      </c>
      <c r="M274" t="str">
        <f>_xlfn.XLOOKUP(K:K,Products!B:B,Products!A:A," ")</f>
        <v>Stationery</v>
      </c>
    </row>
    <row r="275" spans="1:13" x14ac:dyDescent="0.2">
      <c r="A275" t="s">
        <v>25</v>
      </c>
      <c r="B275">
        <v>16.809999999999999</v>
      </c>
      <c r="C275">
        <v>274</v>
      </c>
      <c r="D275" t="s">
        <v>22</v>
      </c>
      <c r="E275">
        <v>24</v>
      </c>
      <c r="F275" s="6">
        <v>45215</v>
      </c>
      <c r="G275" s="6" t="str">
        <f>_xlfn.XLOOKUP(K:K,Products!B:B,Products!E:E," ")</f>
        <v>Sports</v>
      </c>
      <c r="H275" s="6" t="str">
        <f>_xlfn.XLOOKUP(Orders!K:K,Products!B:B,Products!F:F," ")</f>
        <v>Clothing Model 1</v>
      </c>
      <c r="I275" s="6" t="str">
        <f>_xlfn.XLOOKUP(K:K,Products!B:B,Products!C:C," ")</f>
        <v>BrandD</v>
      </c>
      <c r="J275" s="8">
        <f>_xlfn.XLOOKUP(K:K,Products!B:B,Products!D:D," ")</f>
        <v>111.57</v>
      </c>
      <c r="K275">
        <v>17</v>
      </c>
      <c r="L275" t="s">
        <v>28</v>
      </c>
      <c r="M275" t="str">
        <f>_xlfn.XLOOKUP(K:K,Products!B:B,Products!A:A," ")</f>
        <v>Clothing</v>
      </c>
    </row>
    <row r="276" spans="1:13" x14ac:dyDescent="0.2">
      <c r="A276" t="s">
        <v>19</v>
      </c>
      <c r="B276">
        <v>452.24</v>
      </c>
      <c r="C276">
        <v>275</v>
      </c>
      <c r="D276" t="s">
        <v>17</v>
      </c>
      <c r="E276">
        <v>8</v>
      </c>
      <c r="F276" s="6">
        <v>44973</v>
      </c>
      <c r="G276" s="6" t="str">
        <f>_xlfn.XLOOKUP(K:K,Products!B:B,Products!E:E," ")</f>
        <v>Home</v>
      </c>
      <c r="H276" s="6" t="str">
        <f>_xlfn.XLOOKUP(Orders!K:K,Products!B:B,Products!F:F," ")</f>
        <v>Cleaning Model 2</v>
      </c>
      <c r="I276" s="6" t="str">
        <f>_xlfn.XLOOKUP(K:K,Products!B:B,Products!C:C," ")</f>
        <v>BrandB</v>
      </c>
      <c r="J276" s="8">
        <f>_xlfn.XLOOKUP(K:K,Products!B:B,Products!D:D," ")</f>
        <v>209.52</v>
      </c>
      <c r="K276">
        <v>12</v>
      </c>
      <c r="L276" t="s">
        <v>26</v>
      </c>
      <c r="M276" t="str">
        <f>_xlfn.XLOOKUP(K:K,Products!B:B,Products!A:A," ")</f>
        <v>Cleaning</v>
      </c>
    </row>
    <row r="277" spans="1:13" x14ac:dyDescent="0.2">
      <c r="A277" t="s">
        <v>25</v>
      </c>
      <c r="B277">
        <v>112.44</v>
      </c>
      <c r="C277">
        <v>276</v>
      </c>
      <c r="D277" t="s">
        <v>22</v>
      </c>
      <c r="E277">
        <v>14</v>
      </c>
      <c r="F277" s="6">
        <v>45130</v>
      </c>
      <c r="G277" s="6" t="str">
        <f>_xlfn.XLOOKUP(K:K,Products!B:B,Products!E:E," ")</f>
        <v xml:space="preserve"> </v>
      </c>
      <c r="H277" s="6" t="str">
        <f>_xlfn.XLOOKUP(Orders!K:K,Products!B:B,Products!F:F," ")</f>
        <v xml:space="preserve"> </v>
      </c>
      <c r="I277" s="6" t="str">
        <f>_xlfn.XLOOKUP(K:K,Products!B:B,Products!C:C," ")</f>
        <v xml:space="preserve"> </v>
      </c>
      <c r="J277" s="8" t="str">
        <f>_xlfn.XLOOKUP(K:K,Products!B:B,Products!D:D," ")</f>
        <v xml:space="preserve"> </v>
      </c>
      <c r="K277">
        <v>29</v>
      </c>
      <c r="L277" t="s">
        <v>27</v>
      </c>
      <c r="M277" t="str">
        <f>_xlfn.XLOOKUP(K:K,Products!B:B,Products!A:A," ")</f>
        <v xml:space="preserve"> </v>
      </c>
    </row>
    <row r="278" spans="1:13" x14ac:dyDescent="0.2">
      <c r="A278" t="s">
        <v>21</v>
      </c>
      <c r="B278">
        <v>40.04</v>
      </c>
      <c r="C278">
        <v>277</v>
      </c>
      <c r="D278" t="s">
        <v>24</v>
      </c>
      <c r="E278">
        <v>17</v>
      </c>
      <c r="F278" s="6">
        <v>44998</v>
      </c>
      <c r="G278" s="6" t="str">
        <f>_xlfn.XLOOKUP(K:K,Products!B:B,Products!E:E," ")</f>
        <v>Office</v>
      </c>
      <c r="H278" s="6" t="str">
        <f>_xlfn.XLOOKUP(Orders!K:K,Products!B:B,Products!F:F," ")</f>
        <v>Stationery Model 1</v>
      </c>
      <c r="I278" s="6" t="str">
        <f>_xlfn.XLOOKUP(K:K,Products!B:B,Products!C:C," ")</f>
        <v>BrandB</v>
      </c>
      <c r="J278" s="8">
        <f>_xlfn.XLOOKUP(K:K,Products!B:B,Products!D:D," ")</f>
        <v>73</v>
      </c>
      <c r="K278">
        <v>19</v>
      </c>
      <c r="L278" t="s">
        <v>23</v>
      </c>
      <c r="M278" t="str">
        <f>_xlfn.XLOOKUP(K:K,Products!B:B,Products!A:A," ")</f>
        <v>Stationery</v>
      </c>
    </row>
    <row r="279" spans="1:13" x14ac:dyDescent="0.2">
      <c r="A279" t="s">
        <v>21</v>
      </c>
      <c r="B279">
        <v>271.02</v>
      </c>
      <c r="C279">
        <v>278</v>
      </c>
      <c r="D279" t="s">
        <v>24</v>
      </c>
      <c r="E279">
        <v>22</v>
      </c>
      <c r="F279" s="6">
        <v>45183</v>
      </c>
      <c r="G279" s="6" t="str">
        <f>_xlfn.XLOOKUP(K:K,Products!B:B,Products!E:E," ")</f>
        <v xml:space="preserve"> </v>
      </c>
      <c r="H279" s="6" t="str">
        <f>_xlfn.XLOOKUP(Orders!K:K,Products!B:B,Products!F:F," ")</f>
        <v xml:space="preserve"> </v>
      </c>
      <c r="I279" s="6" t="str">
        <f>_xlfn.XLOOKUP(K:K,Products!B:B,Products!C:C," ")</f>
        <v xml:space="preserve"> </v>
      </c>
      <c r="J279" s="8" t="str">
        <f>_xlfn.XLOOKUP(K:K,Products!B:B,Products!D:D," ")</f>
        <v xml:space="preserve"> </v>
      </c>
      <c r="K279">
        <v>29</v>
      </c>
      <c r="L279" t="s">
        <v>18</v>
      </c>
      <c r="M279" t="str">
        <f>_xlfn.XLOOKUP(K:K,Products!B:B,Products!A:A," ")</f>
        <v xml:space="preserve"> </v>
      </c>
    </row>
    <row r="280" spans="1:13" x14ac:dyDescent="0.2">
      <c r="A280" t="s">
        <v>16</v>
      </c>
      <c r="B280">
        <v>68.260000000000005</v>
      </c>
      <c r="C280">
        <v>279</v>
      </c>
      <c r="D280" t="s">
        <v>24</v>
      </c>
      <c r="E280">
        <v>3</v>
      </c>
      <c r="F280" s="6">
        <v>45193</v>
      </c>
      <c r="G280" s="6" t="str">
        <f>_xlfn.XLOOKUP(K:K,Products!B:B,Products!E:E," ")</f>
        <v>Office</v>
      </c>
      <c r="H280" s="6" t="str">
        <f>_xlfn.XLOOKUP(Orders!K:K,Products!B:B,Products!F:F," ")</f>
        <v>Printers Model 1</v>
      </c>
      <c r="I280" s="6" t="str">
        <f>_xlfn.XLOOKUP(K:K,Products!B:B,Products!C:C," ")</f>
        <v>BrandA</v>
      </c>
      <c r="J280" s="8">
        <f>_xlfn.XLOOKUP(K:K,Products!B:B,Products!D:D," ")</f>
        <v>36.47</v>
      </c>
      <c r="K280">
        <v>23</v>
      </c>
      <c r="L280" t="s">
        <v>23</v>
      </c>
      <c r="M280" t="str">
        <f>_xlfn.XLOOKUP(K:K,Products!B:B,Products!A:A," ")</f>
        <v>Printers</v>
      </c>
    </row>
    <row r="281" spans="1:13" x14ac:dyDescent="0.2">
      <c r="A281" t="s">
        <v>25</v>
      </c>
      <c r="B281">
        <v>414.7</v>
      </c>
      <c r="C281">
        <v>280</v>
      </c>
      <c r="D281" t="s">
        <v>24</v>
      </c>
      <c r="E281">
        <v>20</v>
      </c>
      <c r="F281" s="6">
        <v>45224</v>
      </c>
      <c r="G281" s="6" t="str">
        <f>_xlfn.XLOOKUP(K:K,Products!B:B,Products!E:E," ")</f>
        <v>Home</v>
      </c>
      <c r="H281" s="6" t="str">
        <f>_xlfn.XLOOKUP(Orders!K:K,Products!B:B,Products!F:F," ")</f>
        <v>Kitchen Model 1</v>
      </c>
      <c r="I281" s="6" t="str">
        <f>_xlfn.XLOOKUP(K:K,Products!B:B,Products!C:C," ")</f>
        <v>BrandB</v>
      </c>
      <c r="J281" s="8">
        <f>_xlfn.XLOOKUP(K:K,Products!B:B,Products!D:D," ")</f>
        <v>27.76</v>
      </c>
      <c r="K281">
        <v>7</v>
      </c>
      <c r="L281" t="s">
        <v>28</v>
      </c>
      <c r="M281" t="str">
        <f>_xlfn.XLOOKUP(K:K,Products!B:B,Products!A:A," ")</f>
        <v>Kitchen</v>
      </c>
    </row>
    <row r="282" spans="1:13" x14ac:dyDescent="0.2">
      <c r="A282" t="s">
        <v>25</v>
      </c>
      <c r="B282">
        <v>141.75</v>
      </c>
      <c r="C282">
        <v>281</v>
      </c>
      <c r="D282" t="s">
        <v>24</v>
      </c>
      <c r="E282">
        <v>38</v>
      </c>
      <c r="F282" s="6">
        <v>45109</v>
      </c>
      <c r="G282" s="6" t="str">
        <f>_xlfn.XLOOKUP(K:K,Products!B:B,Products!E:E," ")</f>
        <v>Sports</v>
      </c>
      <c r="H282" s="6" t="str">
        <f>_xlfn.XLOOKUP(Orders!K:K,Products!B:B,Products!F:F," ")</f>
        <v>Fitness Model 2</v>
      </c>
      <c r="I282" s="6" t="str">
        <f>_xlfn.XLOOKUP(K:K,Products!B:B,Products!C:C," ")</f>
        <v>BrandA</v>
      </c>
      <c r="J282" s="8">
        <f>_xlfn.XLOOKUP(K:K,Products!B:B,Products!D:D," ")</f>
        <v>63.68</v>
      </c>
      <c r="K282">
        <v>14</v>
      </c>
      <c r="L282" t="s">
        <v>26</v>
      </c>
      <c r="M282" t="str">
        <f>_xlfn.XLOOKUP(K:K,Products!B:B,Products!A:A," ")</f>
        <v>Fitness</v>
      </c>
    </row>
    <row r="283" spans="1:13" x14ac:dyDescent="0.2">
      <c r="A283" t="s">
        <v>19</v>
      </c>
      <c r="B283">
        <v>475.93</v>
      </c>
      <c r="C283">
        <v>282</v>
      </c>
      <c r="D283" t="s">
        <v>20</v>
      </c>
      <c r="E283">
        <v>31</v>
      </c>
      <c r="F283" s="6">
        <v>45027</v>
      </c>
      <c r="G283" s="6" t="str">
        <f>_xlfn.XLOOKUP(K:K,Products!B:B,Products!E:E," ")</f>
        <v>Electronics</v>
      </c>
      <c r="H283" s="6" t="str">
        <f>_xlfn.XLOOKUP(Orders!K:K,Products!B:B,Products!F:F," ")</f>
        <v>Smartphone Model 2</v>
      </c>
      <c r="I283" s="6" t="str">
        <f>_xlfn.XLOOKUP(K:K,Products!B:B,Products!C:C," ")</f>
        <v>BrandB</v>
      </c>
      <c r="J283" s="8">
        <f>_xlfn.XLOOKUP(K:K,Products!B:B,Products!D:D," ")</f>
        <v>43.27</v>
      </c>
      <c r="K283">
        <v>2</v>
      </c>
      <c r="L283" t="s">
        <v>29</v>
      </c>
      <c r="M283" t="str">
        <f>_xlfn.XLOOKUP(K:K,Products!B:B,Products!A:A," ")</f>
        <v>Smartphone</v>
      </c>
    </row>
    <row r="284" spans="1:13" x14ac:dyDescent="0.2">
      <c r="A284" t="s">
        <v>21</v>
      </c>
      <c r="B284">
        <v>283.87</v>
      </c>
      <c r="C284">
        <v>283</v>
      </c>
      <c r="D284" t="s">
        <v>24</v>
      </c>
      <c r="E284">
        <v>46</v>
      </c>
      <c r="F284" s="6">
        <v>45204</v>
      </c>
      <c r="G284" s="6" t="str">
        <f>_xlfn.XLOOKUP(K:K,Products!B:B,Products!E:E," ")</f>
        <v>Home</v>
      </c>
      <c r="H284" s="6" t="str">
        <f>_xlfn.XLOOKUP(Orders!K:K,Products!B:B,Products!F:F," ")</f>
        <v>Cleaning Model 1</v>
      </c>
      <c r="I284" s="6" t="str">
        <f>_xlfn.XLOOKUP(K:K,Products!B:B,Products!C:C," ")</f>
        <v>BrandD</v>
      </c>
      <c r="J284" s="8">
        <f>_xlfn.XLOOKUP(K:K,Products!B:B,Products!D:D," ")</f>
        <v>191.61</v>
      </c>
      <c r="K284">
        <v>11</v>
      </c>
      <c r="L284" t="s">
        <v>26</v>
      </c>
      <c r="M284" t="str">
        <f>_xlfn.XLOOKUP(K:K,Products!B:B,Products!A:A," ")</f>
        <v>Cleaning</v>
      </c>
    </row>
    <row r="285" spans="1:13" x14ac:dyDescent="0.2">
      <c r="A285" t="s">
        <v>19</v>
      </c>
      <c r="B285">
        <v>277.43</v>
      </c>
      <c r="C285">
        <v>284</v>
      </c>
      <c r="D285" t="s">
        <v>20</v>
      </c>
      <c r="E285">
        <v>32</v>
      </c>
      <c r="F285" s="6">
        <v>45255</v>
      </c>
      <c r="G285" s="6" t="str">
        <f>_xlfn.XLOOKUP(K:K,Products!B:B,Products!E:E," ")</f>
        <v>Office</v>
      </c>
      <c r="H285" s="6" t="str">
        <f>_xlfn.XLOOKUP(Orders!K:K,Products!B:B,Products!F:F," ")</f>
        <v>Printers Model 2</v>
      </c>
      <c r="I285" s="6" t="str">
        <f>_xlfn.XLOOKUP(K:K,Products!B:B,Products!C:C," ")</f>
        <v>BrandA</v>
      </c>
      <c r="J285" s="8">
        <f>_xlfn.XLOOKUP(K:K,Products!B:B,Products!D:D," ")</f>
        <v>272.52</v>
      </c>
      <c r="K285">
        <v>24</v>
      </c>
      <c r="L285" t="s">
        <v>28</v>
      </c>
      <c r="M285" t="str">
        <f>_xlfn.XLOOKUP(K:K,Products!B:B,Products!A:A," ")</f>
        <v>Printers</v>
      </c>
    </row>
    <row r="286" spans="1:13" x14ac:dyDescent="0.2">
      <c r="A286" t="s">
        <v>19</v>
      </c>
      <c r="B286">
        <v>54.45</v>
      </c>
      <c r="C286">
        <v>285</v>
      </c>
      <c r="D286" t="s">
        <v>17</v>
      </c>
      <c r="E286">
        <v>28</v>
      </c>
      <c r="F286" s="6">
        <v>45110</v>
      </c>
      <c r="G286" s="6" t="str">
        <f>_xlfn.XLOOKUP(K:K,Products!B:B,Products!E:E," ")</f>
        <v>Sports</v>
      </c>
      <c r="H286" s="6" t="str">
        <f>_xlfn.XLOOKUP(Orders!K:K,Products!B:B,Products!F:F," ")</f>
        <v>Outdoor Model 2</v>
      </c>
      <c r="I286" s="6" t="str">
        <f>_xlfn.XLOOKUP(K:K,Products!B:B,Products!C:C," ")</f>
        <v>BrandA</v>
      </c>
      <c r="J286" s="8">
        <f>_xlfn.XLOOKUP(K:K,Products!B:B,Products!D:D," ")</f>
        <v>21.27</v>
      </c>
      <c r="K286">
        <v>16</v>
      </c>
      <c r="L286" t="s">
        <v>26</v>
      </c>
      <c r="M286" t="str">
        <f>_xlfn.XLOOKUP(K:K,Products!B:B,Products!A:A," ")</f>
        <v>Outdoor</v>
      </c>
    </row>
    <row r="287" spans="1:13" x14ac:dyDescent="0.2">
      <c r="A287" t="s">
        <v>25</v>
      </c>
      <c r="B287">
        <v>283.02</v>
      </c>
      <c r="C287">
        <v>286</v>
      </c>
      <c r="D287" t="s">
        <v>24</v>
      </c>
      <c r="E287">
        <v>47</v>
      </c>
      <c r="F287" s="6">
        <v>44962</v>
      </c>
      <c r="G287" s="6" t="str">
        <f>_xlfn.XLOOKUP(K:K,Products!B:B,Products!E:E," ")</f>
        <v>Sports</v>
      </c>
      <c r="H287" s="6" t="str">
        <f>_xlfn.XLOOKUP(Orders!K:K,Products!B:B,Products!F:F," ")</f>
        <v>Fitness Model 1</v>
      </c>
      <c r="I287" s="6" t="str">
        <f>_xlfn.XLOOKUP(K:K,Products!B:B,Products!C:C," ")</f>
        <v>BrandB</v>
      </c>
      <c r="J287" s="8">
        <f>_xlfn.XLOOKUP(K:K,Products!B:B,Products!D:D," ")</f>
        <v>227.4</v>
      </c>
      <c r="K287">
        <v>13</v>
      </c>
      <c r="L287" t="s">
        <v>26</v>
      </c>
      <c r="M287" t="str">
        <f>_xlfn.XLOOKUP(K:K,Products!B:B,Products!A:A," ")</f>
        <v>Fitness</v>
      </c>
    </row>
    <row r="288" spans="1:13" x14ac:dyDescent="0.2">
      <c r="A288" t="s">
        <v>19</v>
      </c>
      <c r="B288">
        <v>221.78</v>
      </c>
      <c r="C288">
        <v>287</v>
      </c>
      <c r="D288" t="s">
        <v>24</v>
      </c>
      <c r="E288">
        <v>10</v>
      </c>
      <c r="F288" s="6">
        <v>45187</v>
      </c>
      <c r="G288" s="6" t="str">
        <f>_xlfn.XLOOKUP(K:K,Products!B:B,Products!E:E," ")</f>
        <v>Sports</v>
      </c>
      <c r="H288" s="6" t="str">
        <f>_xlfn.XLOOKUP(Orders!K:K,Products!B:B,Products!F:F," ")</f>
        <v>Clothing Model 2</v>
      </c>
      <c r="I288" s="6" t="str">
        <f>_xlfn.XLOOKUP(K:K,Products!B:B,Products!C:C," ")</f>
        <v>BrandB</v>
      </c>
      <c r="J288" s="8">
        <f>_xlfn.XLOOKUP(K:K,Products!B:B,Products!D:D," ")</f>
        <v>247.45</v>
      </c>
      <c r="K288">
        <v>18</v>
      </c>
      <c r="L288" t="s">
        <v>18</v>
      </c>
      <c r="M288" t="str">
        <f>_xlfn.XLOOKUP(K:K,Products!B:B,Products!A:A," ")</f>
        <v>Clothing</v>
      </c>
    </row>
    <row r="289" spans="1:13" x14ac:dyDescent="0.2">
      <c r="A289" t="s">
        <v>16</v>
      </c>
      <c r="B289">
        <v>227.47</v>
      </c>
      <c r="C289">
        <v>288</v>
      </c>
      <c r="D289" t="s">
        <v>20</v>
      </c>
      <c r="E289">
        <v>1</v>
      </c>
      <c r="F289" s="6">
        <v>45064</v>
      </c>
      <c r="G289" s="6" t="str">
        <f>_xlfn.XLOOKUP(K:K,Products!B:B,Products!E:E," ")</f>
        <v>Office</v>
      </c>
      <c r="H289" s="6" t="str">
        <f>_xlfn.XLOOKUP(Orders!K:K,Products!B:B,Products!F:F," ")</f>
        <v>Printers Model 2</v>
      </c>
      <c r="I289" s="6" t="str">
        <f>_xlfn.XLOOKUP(K:K,Products!B:B,Products!C:C," ")</f>
        <v>BrandA</v>
      </c>
      <c r="J289" s="8">
        <f>_xlfn.XLOOKUP(K:K,Products!B:B,Products!D:D," ")</f>
        <v>272.52</v>
      </c>
      <c r="K289">
        <v>24</v>
      </c>
      <c r="L289" t="s">
        <v>29</v>
      </c>
      <c r="M289" t="str">
        <f>_xlfn.XLOOKUP(K:K,Products!B:B,Products!A:A," ")</f>
        <v>Printers</v>
      </c>
    </row>
    <row r="290" spans="1:13" x14ac:dyDescent="0.2">
      <c r="A290" t="s">
        <v>25</v>
      </c>
      <c r="B290">
        <v>9.84</v>
      </c>
      <c r="C290">
        <v>289</v>
      </c>
      <c r="D290" t="s">
        <v>22</v>
      </c>
      <c r="E290">
        <v>48</v>
      </c>
      <c r="F290" s="6">
        <v>44974</v>
      </c>
      <c r="G290" s="6" t="str">
        <f>_xlfn.XLOOKUP(K:K,Products!B:B,Products!E:E," ")</f>
        <v>Sports</v>
      </c>
      <c r="H290" s="6" t="str">
        <f>_xlfn.XLOOKUP(Orders!K:K,Products!B:B,Products!F:F," ")</f>
        <v>Outdoor Model 2</v>
      </c>
      <c r="I290" s="6" t="str">
        <f>_xlfn.XLOOKUP(K:K,Products!B:B,Products!C:C," ")</f>
        <v>BrandA</v>
      </c>
      <c r="J290" s="8">
        <f>_xlfn.XLOOKUP(K:K,Products!B:B,Products!D:D," ")</f>
        <v>21.27</v>
      </c>
      <c r="K290">
        <v>16</v>
      </c>
      <c r="L290" t="s">
        <v>23</v>
      </c>
      <c r="M290" t="str">
        <f>_xlfn.XLOOKUP(K:K,Products!B:B,Products!A:A," ")</f>
        <v>Outdoor</v>
      </c>
    </row>
    <row r="291" spans="1:13" x14ac:dyDescent="0.2">
      <c r="A291" t="s">
        <v>25</v>
      </c>
      <c r="B291">
        <v>311.33</v>
      </c>
      <c r="C291">
        <v>290</v>
      </c>
      <c r="D291" t="s">
        <v>20</v>
      </c>
      <c r="E291">
        <v>2</v>
      </c>
      <c r="F291" s="6">
        <v>45252</v>
      </c>
      <c r="G291" s="6" t="str">
        <f>_xlfn.XLOOKUP(K:K,Products!B:B,Products!E:E," ")</f>
        <v>Home</v>
      </c>
      <c r="H291" s="6" t="str">
        <f>_xlfn.XLOOKUP(Orders!K:K,Products!B:B,Products!F:F," ")</f>
        <v>Cleaning Model 2</v>
      </c>
      <c r="I291" s="6" t="str">
        <f>_xlfn.XLOOKUP(K:K,Products!B:B,Products!C:C," ")</f>
        <v>BrandB</v>
      </c>
      <c r="J291" s="8">
        <f>_xlfn.XLOOKUP(K:K,Products!B:B,Products!D:D," ")</f>
        <v>209.52</v>
      </c>
      <c r="K291">
        <v>12</v>
      </c>
      <c r="L291" t="s">
        <v>28</v>
      </c>
      <c r="M291" t="str">
        <f>_xlfn.XLOOKUP(K:K,Products!B:B,Products!A:A," ")</f>
        <v>Cleaning</v>
      </c>
    </row>
    <row r="292" spans="1:13" x14ac:dyDescent="0.2">
      <c r="A292" t="s">
        <v>19</v>
      </c>
      <c r="B292">
        <v>146.32</v>
      </c>
      <c r="C292">
        <v>291</v>
      </c>
      <c r="D292" t="s">
        <v>17</v>
      </c>
      <c r="E292">
        <v>21</v>
      </c>
      <c r="F292" s="6">
        <v>45170</v>
      </c>
      <c r="G292" s="6" t="str">
        <f>_xlfn.XLOOKUP(K:K,Products!B:B,Products!E:E," ")</f>
        <v>Electronics</v>
      </c>
      <c r="H292" s="6" t="str">
        <f>_xlfn.XLOOKUP(Orders!K:K,Products!B:B,Products!F:F," ")</f>
        <v>Smartphone Model 2</v>
      </c>
      <c r="I292" s="6" t="str">
        <f>_xlfn.XLOOKUP(K:K,Products!B:B,Products!C:C," ")</f>
        <v>BrandB</v>
      </c>
      <c r="J292" s="8">
        <f>_xlfn.XLOOKUP(K:K,Products!B:B,Products!D:D," ")</f>
        <v>43.27</v>
      </c>
      <c r="K292">
        <v>2</v>
      </c>
      <c r="L292" t="s">
        <v>28</v>
      </c>
      <c r="M292" t="str">
        <f>_xlfn.XLOOKUP(K:K,Products!B:B,Products!A:A," ")</f>
        <v>Smartphone</v>
      </c>
    </row>
    <row r="293" spans="1:13" x14ac:dyDescent="0.2">
      <c r="A293" t="s">
        <v>16</v>
      </c>
      <c r="B293">
        <v>41.89</v>
      </c>
      <c r="C293">
        <v>292</v>
      </c>
      <c r="D293" t="s">
        <v>22</v>
      </c>
      <c r="E293">
        <v>7</v>
      </c>
      <c r="F293" s="6">
        <v>45241</v>
      </c>
      <c r="G293" s="6" t="str">
        <f>_xlfn.XLOOKUP(K:K,Products!B:B,Products!E:E," ")</f>
        <v>Home</v>
      </c>
      <c r="H293" s="6" t="str">
        <f>_xlfn.XLOOKUP(Orders!K:K,Products!B:B,Products!F:F," ")</f>
        <v>Cleaning Model 1</v>
      </c>
      <c r="I293" s="6" t="str">
        <f>_xlfn.XLOOKUP(K:K,Products!B:B,Products!C:C," ")</f>
        <v>BrandD</v>
      </c>
      <c r="J293" s="8">
        <f>_xlfn.XLOOKUP(K:K,Products!B:B,Products!D:D," ")</f>
        <v>191.61</v>
      </c>
      <c r="K293">
        <v>11</v>
      </c>
      <c r="L293" t="s">
        <v>23</v>
      </c>
      <c r="M293" t="str">
        <f>_xlfn.XLOOKUP(K:K,Products!B:B,Products!A:A," ")</f>
        <v>Cleaning</v>
      </c>
    </row>
    <row r="294" spans="1:13" x14ac:dyDescent="0.2">
      <c r="A294" t="s">
        <v>21</v>
      </c>
      <c r="B294">
        <v>391.67</v>
      </c>
      <c r="C294">
        <v>293</v>
      </c>
      <c r="D294" t="s">
        <v>24</v>
      </c>
      <c r="E294">
        <v>14</v>
      </c>
      <c r="F294" s="6">
        <v>45073</v>
      </c>
      <c r="G294" s="6" t="str">
        <f>_xlfn.XLOOKUP(K:K,Products!B:B,Products!E:E," ")</f>
        <v>Office</v>
      </c>
      <c r="H294" s="6" t="str">
        <f>_xlfn.XLOOKUP(Orders!K:K,Products!B:B,Products!F:F," ")</f>
        <v>Office Furniture Model 2</v>
      </c>
      <c r="I294" s="6" t="str">
        <f>_xlfn.XLOOKUP(K:K,Products!B:B,Products!C:C," ")</f>
        <v>BrandA</v>
      </c>
      <c r="J294" s="8">
        <f>_xlfn.XLOOKUP(K:K,Products!B:B,Products!D:D," ")</f>
        <v>59.72</v>
      </c>
      <c r="K294">
        <v>22</v>
      </c>
      <c r="L294" t="s">
        <v>18</v>
      </c>
      <c r="M294" t="str">
        <f>_xlfn.XLOOKUP(K:K,Products!B:B,Products!A:A," ")</f>
        <v>Office Furniture</v>
      </c>
    </row>
    <row r="295" spans="1:13" x14ac:dyDescent="0.2">
      <c r="A295" t="s">
        <v>25</v>
      </c>
      <c r="B295">
        <v>486.02</v>
      </c>
      <c r="C295">
        <v>294</v>
      </c>
      <c r="D295" t="s">
        <v>17</v>
      </c>
      <c r="E295">
        <v>18</v>
      </c>
      <c r="F295" s="6">
        <v>45168</v>
      </c>
      <c r="G295" s="6" t="str">
        <f>_xlfn.XLOOKUP(K:K,Products!B:B,Products!E:E," ")</f>
        <v>Sports</v>
      </c>
      <c r="H295" s="6" t="str">
        <f>_xlfn.XLOOKUP(Orders!K:K,Products!B:B,Products!F:F," ")</f>
        <v>Outdoor Model 2</v>
      </c>
      <c r="I295" s="6" t="str">
        <f>_xlfn.XLOOKUP(K:K,Products!B:B,Products!C:C," ")</f>
        <v>BrandA</v>
      </c>
      <c r="J295" s="8">
        <f>_xlfn.XLOOKUP(K:K,Products!B:B,Products!D:D," ")</f>
        <v>21.27</v>
      </c>
      <c r="K295">
        <v>16</v>
      </c>
      <c r="L295" t="s">
        <v>29</v>
      </c>
      <c r="M295" t="str">
        <f>_xlfn.XLOOKUP(K:K,Products!B:B,Products!A:A," ")</f>
        <v>Outdoor</v>
      </c>
    </row>
    <row r="296" spans="1:13" x14ac:dyDescent="0.2">
      <c r="A296" t="s">
        <v>16</v>
      </c>
      <c r="B296">
        <v>302.83</v>
      </c>
      <c r="C296">
        <v>295</v>
      </c>
      <c r="D296" t="s">
        <v>24</v>
      </c>
      <c r="E296">
        <v>26</v>
      </c>
      <c r="F296" s="6">
        <v>45241</v>
      </c>
      <c r="G296" s="6" t="str">
        <f>_xlfn.XLOOKUP(K:K,Products!B:B,Products!E:E," ")</f>
        <v>Office</v>
      </c>
      <c r="H296" s="6" t="str">
        <f>_xlfn.XLOOKUP(Orders!K:K,Products!B:B,Products!F:F," ")</f>
        <v>Stationery Model 1</v>
      </c>
      <c r="I296" s="6" t="str">
        <f>_xlfn.XLOOKUP(K:K,Products!B:B,Products!C:C," ")</f>
        <v>BrandB</v>
      </c>
      <c r="J296" s="8">
        <f>_xlfn.XLOOKUP(K:K,Products!B:B,Products!D:D," ")</f>
        <v>73</v>
      </c>
      <c r="K296">
        <v>19</v>
      </c>
      <c r="L296" t="s">
        <v>18</v>
      </c>
      <c r="M296" t="str">
        <f>_xlfn.XLOOKUP(K:K,Products!B:B,Products!A:A," ")</f>
        <v>Stationery</v>
      </c>
    </row>
    <row r="297" spans="1:13" x14ac:dyDescent="0.2">
      <c r="A297" t="s">
        <v>16</v>
      </c>
      <c r="B297">
        <v>415.74</v>
      </c>
      <c r="C297">
        <v>296</v>
      </c>
      <c r="D297" t="s">
        <v>20</v>
      </c>
      <c r="E297">
        <v>6</v>
      </c>
      <c r="F297" s="6">
        <v>45176</v>
      </c>
      <c r="G297" s="6" t="str">
        <f>_xlfn.XLOOKUP(K:K,Products!B:B,Products!E:E," ")</f>
        <v>Office</v>
      </c>
      <c r="H297" s="6" t="str">
        <f>_xlfn.XLOOKUP(Orders!K:K,Products!B:B,Products!F:F," ")</f>
        <v>Stationery Model 2</v>
      </c>
      <c r="I297" s="6" t="str">
        <f>_xlfn.XLOOKUP(K:K,Products!B:B,Products!C:C," ")</f>
        <v>BrandC</v>
      </c>
      <c r="J297" s="8">
        <f>_xlfn.XLOOKUP(K:K,Products!B:B,Products!D:D," ")</f>
        <v>170.2</v>
      </c>
      <c r="K297">
        <v>20</v>
      </c>
      <c r="L297" t="s">
        <v>26</v>
      </c>
      <c r="M297" t="str">
        <f>_xlfn.XLOOKUP(K:K,Products!B:B,Products!A:A," ")</f>
        <v>Stationery</v>
      </c>
    </row>
    <row r="298" spans="1:13" x14ac:dyDescent="0.2">
      <c r="A298" t="s">
        <v>16</v>
      </c>
      <c r="B298">
        <v>211.36</v>
      </c>
      <c r="C298">
        <v>297</v>
      </c>
      <c r="D298" t="s">
        <v>24</v>
      </c>
      <c r="E298">
        <v>16</v>
      </c>
      <c r="F298" s="6">
        <v>45022</v>
      </c>
      <c r="G298" s="6" t="str">
        <f>_xlfn.XLOOKUP(K:K,Products!B:B,Products!E:E," ")</f>
        <v>Home</v>
      </c>
      <c r="H298" s="6" t="str">
        <f>_xlfn.XLOOKUP(Orders!K:K,Products!B:B,Products!F:F," ")</f>
        <v>Kitchen Model 2</v>
      </c>
      <c r="I298" s="6" t="str">
        <f>_xlfn.XLOOKUP(K:K,Products!B:B,Products!C:C," ")</f>
        <v>BrandC</v>
      </c>
      <c r="J298" s="8">
        <f>_xlfn.XLOOKUP(K:K,Products!B:B,Products!D:D," ")</f>
        <v>163.13999999999999</v>
      </c>
      <c r="K298">
        <v>8</v>
      </c>
      <c r="L298" t="s">
        <v>23</v>
      </c>
      <c r="M298" t="str">
        <f>_xlfn.XLOOKUP(K:K,Products!B:B,Products!A:A," ")</f>
        <v>Kitchen</v>
      </c>
    </row>
    <row r="299" spans="1:13" x14ac:dyDescent="0.2">
      <c r="A299" t="s">
        <v>25</v>
      </c>
      <c r="B299">
        <v>387.58</v>
      </c>
      <c r="C299">
        <v>298</v>
      </c>
      <c r="D299" t="s">
        <v>22</v>
      </c>
      <c r="E299">
        <v>50</v>
      </c>
      <c r="F299" s="6">
        <v>45263</v>
      </c>
      <c r="G299" s="6" t="str">
        <f>_xlfn.XLOOKUP(K:K,Products!B:B,Products!E:E," ")</f>
        <v>Electronics</v>
      </c>
      <c r="H299" s="6" t="str">
        <f>_xlfn.XLOOKUP(Orders!K:K,Products!B:B,Products!F:F," ")</f>
        <v>Laptop Model 1</v>
      </c>
      <c r="I299" s="6" t="str">
        <f>_xlfn.XLOOKUP(K:K,Products!B:B,Products!C:C," ")</f>
        <v>BrandB</v>
      </c>
      <c r="J299" s="8">
        <f>_xlfn.XLOOKUP(K:K,Products!B:B,Products!D:D," ")</f>
        <v>251.46</v>
      </c>
      <c r="K299">
        <v>3</v>
      </c>
      <c r="L299" t="s">
        <v>18</v>
      </c>
      <c r="M299" t="str">
        <f>_xlfn.XLOOKUP(K:K,Products!B:B,Products!A:A," ")</f>
        <v>Laptop</v>
      </c>
    </row>
    <row r="300" spans="1:13" x14ac:dyDescent="0.2">
      <c r="A300" t="s">
        <v>25</v>
      </c>
      <c r="B300">
        <v>27.9</v>
      </c>
      <c r="C300">
        <v>299</v>
      </c>
      <c r="D300" t="s">
        <v>22</v>
      </c>
      <c r="E300">
        <v>49</v>
      </c>
      <c r="F300" s="6">
        <v>45195</v>
      </c>
      <c r="G300" s="6" t="str">
        <f>_xlfn.XLOOKUP(K:K,Products!B:B,Products!E:E," ")</f>
        <v>Home</v>
      </c>
      <c r="H300" s="6" t="str">
        <f>_xlfn.XLOOKUP(Orders!K:K,Products!B:B,Products!F:F," ")</f>
        <v>Furniture Model 2</v>
      </c>
      <c r="I300" s="6" t="str">
        <f>_xlfn.XLOOKUP(K:K,Products!B:B,Products!C:C," ")</f>
        <v>BrandD</v>
      </c>
      <c r="J300" s="8">
        <f>_xlfn.XLOOKUP(K:K,Products!B:B,Products!D:D," ")</f>
        <v>3.75</v>
      </c>
      <c r="K300">
        <v>10</v>
      </c>
      <c r="L300" t="s">
        <v>28</v>
      </c>
      <c r="M300" t="str">
        <f>_xlfn.XLOOKUP(K:K,Products!B:B,Products!A:A," ")</f>
        <v>Furniture</v>
      </c>
    </row>
    <row r="301" spans="1:13" x14ac:dyDescent="0.2">
      <c r="A301" t="s">
        <v>21</v>
      </c>
      <c r="B301">
        <v>191.3</v>
      </c>
      <c r="C301">
        <v>300</v>
      </c>
      <c r="D301" t="s">
        <v>17</v>
      </c>
      <c r="E301">
        <v>30</v>
      </c>
      <c r="F301" s="6">
        <v>44999</v>
      </c>
      <c r="G301" s="6" t="str">
        <f>_xlfn.XLOOKUP(K:K,Products!B:B,Products!E:E," ")</f>
        <v>Sports</v>
      </c>
      <c r="H301" s="6" t="str">
        <f>_xlfn.XLOOKUP(Orders!K:K,Products!B:B,Products!F:F," ")</f>
        <v>Outdoor Model 1</v>
      </c>
      <c r="I301" s="6" t="str">
        <f>_xlfn.XLOOKUP(K:K,Products!B:B,Products!C:C," ")</f>
        <v>BrandD</v>
      </c>
      <c r="J301" s="8">
        <f>_xlfn.XLOOKUP(K:K,Products!B:B,Products!D:D," ")</f>
        <v>223.53</v>
      </c>
      <c r="K301">
        <v>15</v>
      </c>
      <c r="L301" t="s">
        <v>23</v>
      </c>
      <c r="M301" t="str">
        <f>_xlfn.XLOOKUP(K:K,Products!B:B,Products!A:A," ")</f>
        <v>Outdoor</v>
      </c>
    </row>
    <row r="302" spans="1:13" x14ac:dyDescent="0.2">
      <c r="A302" t="s">
        <v>25</v>
      </c>
      <c r="B302">
        <v>40.96</v>
      </c>
      <c r="C302">
        <v>301</v>
      </c>
      <c r="D302" t="s">
        <v>24</v>
      </c>
      <c r="E302">
        <v>1</v>
      </c>
      <c r="F302" s="6">
        <v>44927</v>
      </c>
      <c r="G302" s="6" t="str">
        <f>_xlfn.XLOOKUP(K:K,Products!B:B,Products!E:E," ")</f>
        <v>Electronics</v>
      </c>
      <c r="H302" s="6" t="str">
        <f>_xlfn.XLOOKUP(Orders!K:K,Products!B:B,Products!F:F," ")</f>
        <v>Smartphone Model 2</v>
      </c>
      <c r="I302" s="6" t="str">
        <f>_xlfn.XLOOKUP(K:K,Products!B:B,Products!C:C," ")</f>
        <v>BrandB</v>
      </c>
      <c r="J302" s="8">
        <f>_xlfn.XLOOKUP(K:K,Products!B:B,Products!D:D," ")</f>
        <v>43.27</v>
      </c>
      <c r="K302">
        <v>2</v>
      </c>
      <c r="L302" t="s">
        <v>27</v>
      </c>
      <c r="M302" t="str">
        <f>_xlfn.XLOOKUP(K:K,Products!B:B,Products!A:A," ")</f>
        <v>Smartphone</v>
      </c>
    </row>
    <row r="303" spans="1:13" x14ac:dyDescent="0.2">
      <c r="A303" t="s">
        <v>21</v>
      </c>
      <c r="B303">
        <v>361.34</v>
      </c>
      <c r="C303">
        <v>302</v>
      </c>
      <c r="D303" t="s">
        <v>17</v>
      </c>
      <c r="E303">
        <v>34</v>
      </c>
      <c r="F303" s="6">
        <v>45012</v>
      </c>
      <c r="G303" s="6" t="str">
        <f>_xlfn.XLOOKUP(K:K,Products!B:B,Products!E:E," ")</f>
        <v>Home</v>
      </c>
      <c r="H303" s="6" t="str">
        <f>_xlfn.XLOOKUP(Orders!K:K,Products!B:B,Products!F:F," ")</f>
        <v>Furniture Model 2</v>
      </c>
      <c r="I303" s="6" t="str">
        <f>_xlfn.XLOOKUP(K:K,Products!B:B,Products!C:C," ")</f>
        <v>BrandD</v>
      </c>
      <c r="J303" s="8">
        <f>_xlfn.XLOOKUP(K:K,Products!B:B,Products!D:D," ")</f>
        <v>3.75</v>
      </c>
      <c r="K303">
        <v>10</v>
      </c>
      <c r="L303" t="s">
        <v>23</v>
      </c>
      <c r="M303" t="str">
        <f>_xlfn.XLOOKUP(K:K,Products!B:B,Products!A:A," ")</f>
        <v>Furniture</v>
      </c>
    </row>
    <row r="304" spans="1:13" x14ac:dyDescent="0.2">
      <c r="A304" t="s">
        <v>21</v>
      </c>
      <c r="B304">
        <v>474.4</v>
      </c>
      <c r="C304">
        <v>303</v>
      </c>
      <c r="D304" t="s">
        <v>20</v>
      </c>
      <c r="E304">
        <v>32</v>
      </c>
      <c r="F304" s="6">
        <v>45247</v>
      </c>
      <c r="G304" s="6" t="str">
        <f>_xlfn.XLOOKUP(K:K,Products!B:B,Products!E:E," ")</f>
        <v>Home</v>
      </c>
      <c r="H304" s="6" t="str">
        <f>_xlfn.XLOOKUP(Orders!K:K,Products!B:B,Products!F:F," ")</f>
        <v>Kitchen Model 2</v>
      </c>
      <c r="I304" s="6" t="str">
        <f>_xlfn.XLOOKUP(K:K,Products!B:B,Products!C:C," ")</f>
        <v>BrandC</v>
      </c>
      <c r="J304" s="8">
        <f>_xlfn.XLOOKUP(K:K,Products!B:B,Products!D:D," ")</f>
        <v>163.13999999999999</v>
      </c>
      <c r="K304">
        <v>8</v>
      </c>
      <c r="L304" t="s">
        <v>27</v>
      </c>
      <c r="M304" t="str">
        <f>_xlfn.XLOOKUP(K:K,Products!B:B,Products!A:A," ")</f>
        <v>Kitchen</v>
      </c>
    </row>
    <row r="305" spans="1:13" x14ac:dyDescent="0.2">
      <c r="A305" t="s">
        <v>25</v>
      </c>
      <c r="B305">
        <v>114.58</v>
      </c>
      <c r="C305">
        <v>304</v>
      </c>
      <c r="D305" t="s">
        <v>24</v>
      </c>
      <c r="E305">
        <v>27</v>
      </c>
      <c r="F305" s="6">
        <v>45106</v>
      </c>
      <c r="G305" s="6" t="str">
        <f>_xlfn.XLOOKUP(K:K,Products!B:B,Products!E:E," ")</f>
        <v>Office</v>
      </c>
      <c r="H305" s="6" t="str">
        <f>_xlfn.XLOOKUP(Orders!K:K,Products!B:B,Products!F:F," ")</f>
        <v>Printers Model 1</v>
      </c>
      <c r="I305" s="6" t="str">
        <f>_xlfn.XLOOKUP(K:K,Products!B:B,Products!C:C," ")</f>
        <v>BrandA</v>
      </c>
      <c r="J305" s="8">
        <f>_xlfn.XLOOKUP(K:K,Products!B:B,Products!D:D," ")</f>
        <v>36.47</v>
      </c>
      <c r="K305">
        <v>23</v>
      </c>
      <c r="L305" t="s">
        <v>28</v>
      </c>
      <c r="M305" t="str">
        <f>_xlfn.XLOOKUP(K:K,Products!B:B,Products!A:A," ")</f>
        <v>Printers</v>
      </c>
    </row>
    <row r="306" spans="1:13" x14ac:dyDescent="0.2">
      <c r="A306" t="s">
        <v>16</v>
      </c>
      <c r="B306">
        <v>104.76</v>
      </c>
      <c r="C306">
        <v>305</v>
      </c>
      <c r="D306" t="s">
        <v>17</v>
      </c>
      <c r="E306">
        <v>4</v>
      </c>
      <c r="F306" s="6">
        <v>45106</v>
      </c>
      <c r="G306" s="6" t="str">
        <f>_xlfn.XLOOKUP(K:K,Products!B:B,Products!E:E," ")</f>
        <v>Sports</v>
      </c>
      <c r="H306" s="6" t="str">
        <f>_xlfn.XLOOKUP(Orders!K:K,Products!B:B,Products!F:F," ")</f>
        <v>Outdoor Model 2</v>
      </c>
      <c r="I306" s="6" t="str">
        <f>_xlfn.XLOOKUP(K:K,Products!B:B,Products!C:C," ")</f>
        <v>BrandA</v>
      </c>
      <c r="J306" s="8">
        <f>_xlfn.XLOOKUP(K:K,Products!B:B,Products!D:D," ")</f>
        <v>21.27</v>
      </c>
      <c r="K306">
        <v>16</v>
      </c>
      <c r="L306" t="s">
        <v>27</v>
      </c>
      <c r="M306" t="str">
        <f>_xlfn.XLOOKUP(K:K,Products!B:B,Products!A:A," ")</f>
        <v>Outdoor</v>
      </c>
    </row>
    <row r="307" spans="1:13" x14ac:dyDescent="0.2">
      <c r="A307" t="s">
        <v>25</v>
      </c>
      <c r="B307">
        <v>308.23</v>
      </c>
      <c r="C307">
        <v>306</v>
      </c>
      <c r="D307" t="s">
        <v>20</v>
      </c>
      <c r="E307">
        <v>4</v>
      </c>
      <c r="F307" s="6">
        <v>45208</v>
      </c>
      <c r="G307" s="6" t="str">
        <f>_xlfn.XLOOKUP(K:K,Products!B:B,Products!E:E," ")</f>
        <v>Electronics</v>
      </c>
      <c r="H307" s="6" t="str">
        <f>_xlfn.XLOOKUP(Orders!K:K,Products!B:B,Products!F:F," ")</f>
        <v>Tablet Model 2</v>
      </c>
      <c r="I307" s="6" t="str">
        <f>_xlfn.XLOOKUP(K:K,Products!B:B,Products!C:C," ")</f>
        <v>BrandB</v>
      </c>
      <c r="J307" s="8">
        <f>_xlfn.XLOOKUP(K:K,Products!B:B,Products!D:D," ")</f>
        <v>184.01</v>
      </c>
      <c r="K307">
        <v>6</v>
      </c>
      <c r="L307" t="s">
        <v>18</v>
      </c>
      <c r="M307" t="str">
        <f>_xlfn.XLOOKUP(K:K,Products!B:B,Products!A:A," ")</f>
        <v>Tablet</v>
      </c>
    </row>
    <row r="308" spans="1:13" x14ac:dyDescent="0.2">
      <c r="A308" t="s">
        <v>16</v>
      </c>
      <c r="B308">
        <v>157.21</v>
      </c>
      <c r="C308">
        <v>307</v>
      </c>
      <c r="D308" t="s">
        <v>22</v>
      </c>
      <c r="E308">
        <v>43</v>
      </c>
      <c r="F308" s="6">
        <v>45272</v>
      </c>
      <c r="G308" s="6" t="str">
        <f>_xlfn.XLOOKUP(K:K,Products!B:B,Products!E:E," ")</f>
        <v>Sports</v>
      </c>
      <c r="H308" s="6" t="str">
        <f>_xlfn.XLOOKUP(Orders!K:K,Products!B:B,Products!F:F," ")</f>
        <v>Outdoor Model 2</v>
      </c>
      <c r="I308" s="6" t="str">
        <f>_xlfn.XLOOKUP(K:K,Products!B:B,Products!C:C," ")</f>
        <v>BrandA</v>
      </c>
      <c r="J308" s="8">
        <f>_xlfn.XLOOKUP(K:K,Products!B:B,Products!D:D," ")</f>
        <v>21.27</v>
      </c>
      <c r="K308">
        <v>16</v>
      </c>
      <c r="L308" t="s">
        <v>29</v>
      </c>
      <c r="M308" t="str">
        <f>_xlfn.XLOOKUP(K:K,Products!B:B,Products!A:A," ")</f>
        <v>Outdoor</v>
      </c>
    </row>
    <row r="309" spans="1:13" x14ac:dyDescent="0.2">
      <c r="A309" t="s">
        <v>19</v>
      </c>
      <c r="B309">
        <v>276.51</v>
      </c>
      <c r="C309">
        <v>308</v>
      </c>
      <c r="D309" t="s">
        <v>24</v>
      </c>
      <c r="E309">
        <v>43</v>
      </c>
      <c r="F309" s="6">
        <v>45005</v>
      </c>
      <c r="G309" s="6" t="str">
        <f>_xlfn.XLOOKUP(K:K,Products!B:B,Products!E:E," ")</f>
        <v>Sports</v>
      </c>
      <c r="H309" s="6" t="str">
        <f>_xlfn.XLOOKUP(Orders!K:K,Products!B:B,Products!F:F," ")</f>
        <v>Outdoor Model 1</v>
      </c>
      <c r="I309" s="6" t="str">
        <f>_xlfn.XLOOKUP(K:K,Products!B:B,Products!C:C," ")</f>
        <v>BrandD</v>
      </c>
      <c r="J309" s="8">
        <f>_xlfn.XLOOKUP(K:K,Products!B:B,Products!D:D," ")</f>
        <v>223.53</v>
      </c>
      <c r="K309">
        <v>15</v>
      </c>
      <c r="L309" t="s">
        <v>18</v>
      </c>
      <c r="M309" t="str">
        <f>_xlfn.XLOOKUP(K:K,Products!B:B,Products!A:A," ")</f>
        <v>Outdoor</v>
      </c>
    </row>
    <row r="310" spans="1:13" x14ac:dyDescent="0.2">
      <c r="A310" t="s">
        <v>21</v>
      </c>
      <c r="B310">
        <v>16.55</v>
      </c>
      <c r="C310">
        <v>309</v>
      </c>
      <c r="D310" t="s">
        <v>24</v>
      </c>
      <c r="E310">
        <v>26</v>
      </c>
      <c r="F310" s="6">
        <v>45189</v>
      </c>
      <c r="G310" s="6" t="str">
        <f>_xlfn.XLOOKUP(K:K,Products!B:B,Products!E:E," ")</f>
        <v>Home</v>
      </c>
      <c r="H310" s="6" t="str">
        <f>_xlfn.XLOOKUP(Orders!K:K,Products!B:B,Products!F:F," ")</f>
        <v>Kitchen Model 1</v>
      </c>
      <c r="I310" s="6" t="str">
        <f>_xlfn.XLOOKUP(K:K,Products!B:B,Products!C:C," ")</f>
        <v>BrandB</v>
      </c>
      <c r="J310" s="8">
        <f>_xlfn.XLOOKUP(K:K,Products!B:B,Products!D:D," ")</f>
        <v>27.76</v>
      </c>
      <c r="K310">
        <v>7</v>
      </c>
      <c r="L310" t="s">
        <v>23</v>
      </c>
      <c r="M310" t="str">
        <f>_xlfn.XLOOKUP(K:K,Products!B:B,Products!A:A," ")</f>
        <v>Kitchen</v>
      </c>
    </row>
    <row r="311" spans="1:13" x14ac:dyDescent="0.2">
      <c r="A311" t="s">
        <v>19</v>
      </c>
      <c r="B311">
        <v>67.16</v>
      </c>
      <c r="C311">
        <v>310</v>
      </c>
      <c r="D311" t="s">
        <v>22</v>
      </c>
      <c r="E311">
        <v>28</v>
      </c>
      <c r="F311" s="6">
        <v>45089</v>
      </c>
      <c r="G311" s="6" t="str">
        <f>_xlfn.XLOOKUP(K:K,Products!B:B,Products!E:E," ")</f>
        <v>Sports</v>
      </c>
      <c r="H311" s="6" t="str">
        <f>_xlfn.XLOOKUP(Orders!K:K,Products!B:B,Products!F:F," ")</f>
        <v>Outdoor Model 2</v>
      </c>
      <c r="I311" s="6" t="str">
        <f>_xlfn.XLOOKUP(K:K,Products!B:B,Products!C:C," ")</f>
        <v>BrandA</v>
      </c>
      <c r="J311" s="8">
        <f>_xlfn.XLOOKUP(K:K,Products!B:B,Products!D:D," ")</f>
        <v>21.27</v>
      </c>
      <c r="K311">
        <v>16</v>
      </c>
      <c r="L311" t="s">
        <v>18</v>
      </c>
      <c r="M311" t="str">
        <f>_xlfn.XLOOKUP(K:K,Products!B:B,Products!A:A," ")</f>
        <v>Outdoor</v>
      </c>
    </row>
    <row r="312" spans="1:13" x14ac:dyDescent="0.2">
      <c r="A312" t="s">
        <v>21</v>
      </c>
      <c r="B312">
        <v>92.61</v>
      </c>
      <c r="C312">
        <v>311</v>
      </c>
      <c r="D312" t="s">
        <v>22</v>
      </c>
      <c r="E312">
        <v>30</v>
      </c>
      <c r="F312" s="6">
        <v>44975</v>
      </c>
      <c r="G312" s="6" t="str">
        <f>_xlfn.XLOOKUP(K:K,Products!B:B,Products!E:E," ")</f>
        <v xml:space="preserve"> </v>
      </c>
      <c r="H312" s="6" t="str">
        <f>_xlfn.XLOOKUP(Orders!K:K,Products!B:B,Products!F:F," ")</f>
        <v xml:space="preserve"> </v>
      </c>
      <c r="I312" s="6" t="str">
        <f>_xlfn.XLOOKUP(K:K,Products!B:B,Products!C:C," ")</f>
        <v xml:space="preserve"> </v>
      </c>
      <c r="J312" s="8" t="str">
        <f>_xlfn.XLOOKUP(K:K,Products!B:B,Products!D:D," ")</f>
        <v xml:space="preserve"> </v>
      </c>
      <c r="K312">
        <v>28</v>
      </c>
      <c r="L312" t="s">
        <v>29</v>
      </c>
      <c r="M312" t="str">
        <f>_xlfn.XLOOKUP(K:K,Products!B:B,Products!A:A," ")</f>
        <v xml:space="preserve"> </v>
      </c>
    </row>
    <row r="313" spans="1:13" x14ac:dyDescent="0.2">
      <c r="A313" t="s">
        <v>25</v>
      </c>
      <c r="B313">
        <v>161.88</v>
      </c>
      <c r="C313">
        <v>312</v>
      </c>
      <c r="D313" t="s">
        <v>20</v>
      </c>
      <c r="E313">
        <v>23</v>
      </c>
      <c r="F313" s="6">
        <v>44962</v>
      </c>
      <c r="G313" s="6" t="str">
        <f>_xlfn.XLOOKUP(K:K,Products!B:B,Products!E:E," ")</f>
        <v>Electronics</v>
      </c>
      <c r="H313" s="6" t="str">
        <f>_xlfn.XLOOKUP(Orders!K:K,Products!B:B,Products!F:F," ")</f>
        <v>Smartphone Model 1</v>
      </c>
      <c r="I313" s="6" t="str">
        <f>_xlfn.XLOOKUP(K:K,Products!B:B,Products!C:C," ")</f>
        <v>BrandC</v>
      </c>
      <c r="J313" s="8">
        <f>_xlfn.XLOOKUP(K:K,Products!B:B,Products!D:D," ")</f>
        <v>285.64999999999998</v>
      </c>
      <c r="K313">
        <v>1</v>
      </c>
      <c r="L313" t="s">
        <v>18</v>
      </c>
      <c r="M313" t="str">
        <f>_xlfn.XLOOKUP(K:K,Products!B:B,Products!A:A," ")</f>
        <v>Smartphone</v>
      </c>
    </row>
    <row r="314" spans="1:13" x14ac:dyDescent="0.2">
      <c r="A314" t="s">
        <v>16</v>
      </c>
      <c r="B314">
        <v>386.94</v>
      </c>
      <c r="C314">
        <v>313</v>
      </c>
      <c r="D314" t="s">
        <v>20</v>
      </c>
      <c r="E314">
        <v>14</v>
      </c>
      <c r="F314" s="6">
        <v>45116</v>
      </c>
      <c r="G314" s="6" t="str">
        <f>_xlfn.XLOOKUP(K:K,Products!B:B,Products!E:E," ")</f>
        <v>Electronics</v>
      </c>
      <c r="H314" s="6" t="str">
        <f>_xlfn.XLOOKUP(Orders!K:K,Products!B:B,Products!F:F," ")</f>
        <v>Laptop Model 1</v>
      </c>
      <c r="I314" s="6" t="str">
        <f>_xlfn.XLOOKUP(K:K,Products!B:B,Products!C:C," ")</f>
        <v>BrandB</v>
      </c>
      <c r="J314" s="8">
        <f>_xlfn.XLOOKUP(K:K,Products!B:B,Products!D:D," ")</f>
        <v>251.46</v>
      </c>
      <c r="K314">
        <v>3</v>
      </c>
      <c r="L314" t="s">
        <v>29</v>
      </c>
      <c r="M314" t="str">
        <f>_xlfn.XLOOKUP(K:K,Products!B:B,Products!A:A," ")</f>
        <v>Laptop</v>
      </c>
    </row>
    <row r="315" spans="1:13" x14ac:dyDescent="0.2">
      <c r="A315" t="s">
        <v>21</v>
      </c>
      <c r="B315">
        <v>427.68</v>
      </c>
      <c r="C315">
        <v>314</v>
      </c>
      <c r="D315" t="s">
        <v>22</v>
      </c>
      <c r="E315">
        <v>15</v>
      </c>
      <c r="F315" s="6">
        <v>45010</v>
      </c>
      <c r="G315" s="6" t="str">
        <f>_xlfn.XLOOKUP(K:K,Products!B:B,Products!E:E," ")</f>
        <v>Office</v>
      </c>
      <c r="H315" s="6" t="str">
        <f>_xlfn.XLOOKUP(Orders!K:K,Products!B:B,Products!F:F," ")</f>
        <v>Stationery Model 2</v>
      </c>
      <c r="I315" s="6" t="str">
        <f>_xlfn.XLOOKUP(K:K,Products!B:B,Products!C:C," ")</f>
        <v>BrandC</v>
      </c>
      <c r="J315" s="8">
        <f>_xlfn.XLOOKUP(K:K,Products!B:B,Products!D:D," ")</f>
        <v>170.2</v>
      </c>
      <c r="K315">
        <v>20</v>
      </c>
      <c r="L315" t="s">
        <v>18</v>
      </c>
      <c r="M315" t="str">
        <f>_xlfn.XLOOKUP(K:K,Products!B:B,Products!A:A," ")</f>
        <v>Stationery</v>
      </c>
    </row>
    <row r="316" spans="1:13" x14ac:dyDescent="0.2">
      <c r="A316" t="s">
        <v>16</v>
      </c>
      <c r="B316">
        <v>22.02</v>
      </c>
      <c r="C316">
        <v>315</v>
      </c>
      <c r="D316" t="s">
        <v>20</v>
      </c>
      <c r="E316">
        <v>7</v>
      </c>
      <c r="F316" s="6">
        <v>44975</v>
      </c>
      <c r="G316" s="6" t="str">
        <f>_xlfn.XLOOKUP(K:K,Products!B:B,Products!E:E," ")</f>
        <v xml:space="preserve"> </v>
      </c>
      <c r="H316" s="6" t="str">
        <f>_xlfn.XLOOKUP(Orders!K:K,Products!B:B,Products!F:F," ")</f>
        <v xml:space="preserve"> </v>
      </c>
      <c r="I316" s="6" t="str">
        <f>_xlfn.XLOOKUP(K:K,Products!B:B,Products!C:C," ")</f>
        <v xml:space="preserve"> </v>
      </c>
      <c r="J316" s="8" t="str">
        <f>_xlfn.XLOOKUP(K:K,Products!B:B,Products!D:D," ")</f>
        <v xml:space="preserve"> </v>
      </c>
      <c r="K316">
        <v>25</v>
      </c>
      <c r="L316" t="s">
        <v>23</v>
      </c>
      <c r="M316" t="str">
        <f>_xlfn.XLOOKUP(K:K,Products!B:B,Products!A:A," ")</f>
        <v xml:space="preserve"> </v>
      </c>
    </row>
    <row r="317" spans="1:13" x14ac:dyDescent="0.2">
      <c r="A317" t="s">
        <v>25</v>
      </c>
      <c r="B317">
        <v>397.9</v>
      </c>
      <c r="C317">
        <v>316</v>
      </c>
      <c r="D317" t="s">
        <v>17</v>
      </c>
      <c r="E317">
        <v>5</v>
      </c>
      <c r="F317" s="6">
        <v>45149</v>
      </c>
      <c r="G317" s="6" t="str">
        <f>_xlfn.XLOOKUP(K:K,Products!B:B,Products!E:E," ")</f>
        <v>Sports</v>
      </c>
      <c r="H317" s="6" t="str">
        <f>_xlfn.XLOOKUP(Orders!K:K,Products!B:B,Products!F:F," ")</f>
        <v>Outdoor Model 1</v>
      </c>
      <c r="I317" s="6" t="str">
        <f>_xlfn.XLOOKUP(K:K,Products!B:B,Products!C:C," ")</f>
        <v>BrandD</v>
      </c>
      <c r="J317" s="8">
        <f>_xlfn.XLOOKUP(K:K,Products!B:B,Products!D:D," ")</f>
        <v>223.53</v>
      </c>
      <c r="K317">
        <v>15</v>
      </c>
      <c r="L317" t="s">
        <v>29</v>
      </c>
      <c r="M317" t="str">
        <f>_xlfn.XLOOKUP(K:K,Products!B:B,Products!A:A," ")</f>
        <v>Outdoor</v>
      </c>
    </row>
    <row r="318" spans="1:13" x14ac:dyDescent="0.2">
      <c r="A318" t="s">
        <v>25</v>
      </c>
      <c r="B318">
        <v>103.69</v>
      </c>
      <c r="C318">
        <v>317</v>
      </c>
      <c r="D318" t="s">
        <v>24</v>
      </c>
      <c r="E318">
        <v>47</v>
      </c>
      <c r="F318" s="6">
        <v>45166</v>
      </c>
      <c r="G318" s="6" t="str">
        <f>_xlfn.XLOOKUP(K:K,Products!B:B,Products!E:E," ")</f>
        <v xml:space="preserve"> </v>
      </c>
      <c r="H318" s="6" t="str">
        <f>_xlfn.XLOOKUP(Orders!K:K,Products!B:B,Products!F:F," ")</f>
        <v xml:space="preserve"> </v>
      </c>
      <c r="I318" s="6" t="str">
        <f>_xlfn.XLOOKUP(K:K,Products!B:B,Products!C:C," ")</f>
        <v xml:space="preserve"> </v>
      </c>
      <c r="J318" s="8" t="str">
        <f>_xlfn.XLOOKUP(K:K,Products!B:B,Products!D:D," ")</f>
        <v xml:space="preserve"> </v>
      </c>
      <c r="K318">
        <v>28</v>
      </c>
      <c r="L318" t="s">
        <v>27</v>
      </c>
      <c r="M318" t="str">
        <f>_xlfn.XLOOKUP(K:K,Products!B:B,Products!A:A," ")</f>
        <v xml:space="preserve"> </v>
      </c>
    </row>
    <row r="319" spans="1:13" x14ac:dyDescent="0.2">
      <c r="A319" t="s">
        <v>19</v>
      </c>
      <c r="B319">
        <v>107.82</v>
      </c>
      <c r="C319">
        <v>318</v>
      </c>
      <c r="D319" t="s">
        <v>22</v>
      </c>
      <c r="E319">
        <v>21</v>
      </c>
      <c r="F319" s="6">
        <v>45218</v>
      </c>
      <c r="G319" s="6" t="str">
        <f>_xlfn.XLOOKUP(K:K,Products!B:B,Products!E:E," ")</f>
        <v>Sports</v>
      </c>
      <c r="H319" s="6" t="str">
        <f>_xlfn.XLOOKUP(Orders!K:K,Products!B:B,Products!F:F," ")</f>
        <v>Outdoor Model 2</v>
      </c>
      <c r="I319" s="6" t="str">
        <f>_xlfn.XLOOKUP(K:K,Products!B:B,Products!C:C," ")</f>
        <v>BrandA</v>
      </c>
      <c r="J319" s="8">
        <f>_xlfn.XLOOKUP(K:K,Products!B:B,Products!D:D," ")</f>
        <v>21.27</v>
      </c>
      <c r="K319">
        <v>16</v>
      </c>
      <c r="L319" t="s">
        <v>23</v>
      </c>
      <c r="M319" t="str">
        <f>_xlfn.XLOOKUP(K:K,Products!B:B,Products!A:A," ")</f>
        <v>Outdoor</v>
      </c>
    </row>
    <row r="320" spans="1:13" x14ac:dyDescent="0.2">
      <c r="A320" t="s">
        <v>25</v>
      </c>
      <c r="B320">
        <v>275.79000000000002</v>
      </c>
      <c r="C320">
        <v>319</v>
      </c>
      <c r="D320" t="s">
        <v>20</v>
      </c>
      <c r="E320">
        <v>21</v>
      </c>
      <c r="F320" s="6">
        <v>45286</v>
      </c>
      <c r="G320" s="6" t="str">
        <f>_xlfn.XLOOKUP(K:K,Products!B:B,Products!E:E," ")</f>
        <v>Electronics</v>
      </c>
      <c r="H320" s="6" t="str">
        <f>_xlfn.XLOOKUP(Orders!K:K,Products!B:B,Products!F:F," ")</f>
        <v>Smartphone Model 2</v>
      </c>
      <c r="I320" s="6" t="str">
        <f>_xlfn.XLOOKUP(K:K,Products!B:B,Products!C:C," ")</f>
        <v>BrandB</v>
      </c>
      <c r="J320" s="8">
        <f>_xlfn.XLOOKUP(K:K,Products!B:B,Products!D:D," ")</f>
        <v>43.27</v>
      </c>
      <c r="K320">
        <v>2</v>
      </c>
      <c r="L320" t="s">
        <v>28</v>
      </c>
      <c r="M320" t="str">
        <f>_xlfn.XLOOKUP(K:K,Products!B:B,Products!A:A," ")</f>
        <v>Smartphone</v>
      </c>
    </row>
    <row r="321" spans="1:13" x14ac:dyDescent="0.2">
      <c r="A321" t="s">
        <v>21</v>
      </c>
      <c r="B321">
        <v>15.99</v>
      </c>
      <c r="C321">
        <v>320</v>
      </c>
      <c r="D321" t="s">
        <v>20</v>
      </c>
      <c r="E321">
        <v>40</v>
      </c>
      <c r="F321" s="6">
        <v>45052</v>
      </c>
      <c r="G321" s="6" t="str">
        <f>_xlfn.XLOOKUP(K:K,Products!B:B,Products!E:E," ")</f>
        <v>Office</v>
      </c>
      <c r="H321" s="6" t="str">
        <f>_xlfn.XLOOKUP(Orders!K:K,Products!B:B,Products!F:F," ")</f>
        <v>Office Furniture Model 1</v>
      </c>
      <c r="I321" s="6" t="str">
        <f>_xlfn.XLOOKUP(K:K,Products!B:B,Products!C:C," ")</f>
        <v>BrandC</v>
      </c>
      <c r="J321" s="8">
        <f>_xlfn.XLOOKUP(K:K,Products!B:B,Products!D:D," ")</f>
        <v>67.66</v>
      </c>
      <c r="K321">
        <v>21</v>
      </c>
      <c r="L321" t="s">
        <v>18</v>
      </c>
      <c r="M321" t="str">
        <f>_xlfn.XLOOKUP(K:K,Products!B:B,Products!A:A," ")</f>
        <v>Office Furniture</v>
      </c>
    </row>
    <row r="322" spans="1:13" x14ac:dyDescent="0.2">
      <c r="A322" t="s">
        <v>21</v>
      </c>
      <c r="B322">
        <v>493.29</v>
      </c>
      <c r="C322">
        <v>321</v>
      </c>
      <c r="D322" t="s">
        <v>17</v>
      </c>
      <c r="E322">
        <v>41</v>
      </c>
      <c r="F322" s="6">
        <v>45093</v>
      </c>
      <c r="G322" s="6" t="str">
        <f>_xlfn.XLOOKUP(K:K,Products!B:B,Products!E:E," ")</f>
        <v>Electronics</v>
      </c>
      <c r="H322" s="6" t="str">
        <f>_xlfn.XLOOKUP(Orders!K:K,Products!B:B,Products!F:F," ")</f>
        <v>Laptop Model 1</v>
      </c>
      <c r="I322" s="6" t="str">
        <f>_xlfn.XLOOKUP(K:K,Products!B:B,Products!C:C," ")</f>
        <v>BrandB</v>
      </c>
      <c r="J322" s="8">
        <f>_xlfn.XLOOKUP(K:K,Products!B:B,Products!D:D," ")</f>
        <v>251.46</v>
      </c>
      <c r="K322">
        <v>3</v>
      </c>
      <c r="L322" t="s">
        <v>18</v>
      </c>
      <c r="M322" t="str">
        <f>_xlfn.XLOOKUP(K:K,Products!B:B,Products!A:A," ")</f>
        <v>Laptop</v>
      </c>
    </row>
    <row r="323" spans="1:13" x14ac:dyDescent="0.2">
      <c r="A323" t="s">
        <v>25</v>
      </c>
      <c r="B323">
        <v>267.58</v>
      </c>
      <c r="C323">
        <v>322</v>
      </c>
      <c r="D323" t="s">
        <v>22</v>
      </c>
      <c r="E323">
        <v>18</v>
      </c>
      <c r="F323" s="6">
        <v>44993</v>
      </c>
      <c r="G323" s="6" t="str">
        <f>_xlfn.XLOOKUP(K:K,Products!B:B,Products!E:E," ")</f>
        <v>Office</v>
      </c>
      <c r="H323" s="6" t="str">
        <f>_xlfn.XLOOKUP(Orders!K:K,Products!B:B,Products!F:F," ")</f>
        <v>Printers Model 2</v>
      </c>
      <c r="I323" s="6" t="str">
        <f>_xlfn.XLOOKUP(K:K,Products!B:B,Products!C:C," ")</f>
        <v>BrandA</v>
      </c>
      <c r="J323" s="8">
        <f>_xlfn.XLOOKUP(K:K,Products!B:B,Products!D:D," ")</f>
        <v>272.52</v>
      </c>
      <c r="K323">
        <v>24</v>
      </c>
      <c r="L323" t="s">
        <v>23</v>
      </c>
      <c r="M323" t="str">
        <f>_xlfn.XLOOKUP(K:K,Products!B:B,Products!A:A," ")</f>
        <v>Printers</v>
      </c>
    </row>
    <row r="324" spans="1:13" x14ac:dyDescent="0.2">
      <c r="A324" t="s">
        <v>16</v>
      </c>
      <c r="B324">
        <v>133.5</v>
      </c>
      <c r="C324">
        <v>323</v>
      </c>
      <c r="D324" t="s">
        <v>22</v>
      </c>
      <c r="E324">
        <v>47</v>
      </c>
      <c r="F324" s="6">
        <v>45062</v>
      </c>
      <c r="G324" s="6" t="str">
        <f>_xlfn.XLOOKUP(K:K,Products!B:B,Products!E:E," ")</f>
        <v>Office</v>
      </c>
      <c r="H324" s="6" t="str">
        <f>_xlfn.XLOOKUP(Orders!K:K,Products!B:B,Products!F:F," ")</f>
        <v>Office Furniture Model 2</v>
      </c>
      <c r="I324" s="6" t="str">
        <f>_xlfn.XLOOKUP(K:K,Products!B:B,Products!C:C," ")</f>
        <v>BrandA</v>
      </c>
      <c r="J324" s="8">
        <f>_xlfn.XLOOKUP(K:K,Products!B:B,Products!D:D," ")</f>
        <v>59.72</v>
      </c>
      <c r="K324">
        <v>22</v>
      </c>
      <c r="L324" t="s">
        <v>18</v>
      </c>
      <c r="M324" t="str">
        <f>_xlfn.XLOOKUP(K:K,Products!B:B,Products!A:A," ")</f>
        <v>Office Furniture</v>
      </c>
    </row>
    <row r="325" spans="1:13" x14ac:dyDescent="0.2">
      <c r="A325" t="s">
        <v>16</v>
      </c>
      <c r="B325">
        <v>317.39</v>
      </c>
      <c r="C325">
        <v>324</v>
      </c>
      <c r="D325" t="s">
        <v>24</v>
      </c>
      <c r="E325">
        <v>17</v>
      </c>
      <c r="F325" s="6">
        <v>44955</v>
      </c>
      <c r="G325" s="6" t="str">
        <f>_xlfn.XLOOKUP(K:K,Products!B:B,Products!E:E," ")</f>
        <v>Office</v>
      </c>
      <c r="H325" s="6" t="str">
        <f>_xlfn.XLOOKUP(Orders!K:K,Products!B:B,Products!F:F," ")</f>
        <v>Printers Model 2</v>
      </c>
      <c r="I325" s="6" t="str">
        <f>_xlfn.XLOOKUP(K:K,Products!B:B,Products!C:C," ")</f>
        <v>BrandA</v>
      </c>
      <c r="J325" s="8">
        <f>_xlfn.XLOOKUP(K:K,Products!B:B,Products!D:D," ")</f>
        <v>272.52</v>
      </c>
      <c r="K325">
        <v>24</v>
      </c>
      <c r="L325" t="s">
        <v>27</v>
      </c>
      <c r="M325" t="str">
        <f>_xlfn.XLOOKUP(K:K,Products!B:B,Products!A:A," ")</f>
        <v>Printers</v>
      </c>
    </row>
    <row r="326" spans="1:13" x14ac:dyDescent="0.2">
      <c r="A326" t="s">
        <v>21</v>
      </c>
      <c r="B326">
        <v>98.84</v>
      </c>
      <c r="C326">
        <v>325</v>
      </c>
      <c r="D326" t="s">
        <v>24</v>
      </c>
      <c r="E326">
        <v>46</v>
      </c>
      <c r="F326" s="6">
        <v>45161</v>
      </c>
      <c r="G326" s="6" t="str">
        <f>_xlfn.XLOOKUP(K:K,Products!B:B,Products!E:E," ")</f>
        <v>Sports</v>
      </c>
      <c r="H326" s="6" t="str">
        <f>_xlfn.XLOOKUP(Orders!K:K,Products!B:B,Products!F:F," ")</f>
        <v>Fitness Model 2</v>
      </c>
      <c r="I326" s="6" t="str">
        <f>_xlfn.XLOOKUP(K:K,Products!B:B,Products!C:C," ")</f>
        <v>BrandA</v>
      </c>
      <c r="J326" s="8">
        <f>_xlfn.XLOOKUP(K:K,Products!B:B,Products!D:D," ")</f>
        <v>63.68</v>
      </c>
      <c r="K326">
        <v>14</v>
      </c>
      <c r="L326" t="s">
        <v>29</v>
      </c>
      <c r="M326" t="str">
        <f>_xlfn.XLOOKUP(K:K,Products!B:B,Products!A:A," ")</f>
        <v>Fitness</v>
      </c>
    </row>
    <row r="327" spans="1:13" x14ac:dyDescent="0.2">
      <c r="A327" t="s">
        <v>19</v>
      </c>
      <c r="B327">
        <v>144.32</v>
      </c>
      <c r="C327">
        <v>326</v>
      </c>
      <c r="D327" t="s">
        <v>22</v>
      </c>
      <c r="E327">
        <v>22</v>
      </c>
      <c r="F327" s="6">
        <v>44933</v>
      </c>
      <c r="G327" s="6" t="str">
        <f>_xlfn.XLOOKUP(K:K,Products!B:B,Products!E:E," ")</f>
        <v>Home</v>
      </c>
      <c r="H327" s="6" t="str">
        <f>_xlfn.XLOOKUP(Orders!K:K,Products!B:B,Products!F:F," ")</f>
        <v>Kitchen Model 1</v>
      </c>
      <c r="I327" s="6" t="str">
        <f>_xlfn.XLOOKUP(K:K,Products!B:B,Products!C:C," ")</f>
        <v>BrandB</v>
      </c>
      <c r="J327" s="8">
        <f>_xlfn.XLOOKUP(K:K,Products!B:B,Products!D:D," ")</f>
        <v>27.76</v>
      </c>
      <c r="K327">
        <v>7</v>
      </c>
      <c r="L327" t="s">
        <v>27</v>
      </c>
      <c r="M327" t="str">
        <f>_xlfn.XLOOKUP(K:K,Products!B:B,Products!A:A," ")</f>
        <v>Kitchen</v>
      </c>
    </row>
    <row r="328" spans="1:13" x14ac:dyDescent="0.2">
      <c r="A328" t="s">
        <v>21</v>
      </c>
      <c r="B328">
        <v>444.24</v>
      </c>
      <c r="C328">
        <v>327</v>
      </c>
      <c r="D328" t="s">
        <v>17</v>
      </c>
      <c r="E328">
        <v>25</v>
      </c>
      <c r="F328" s="6">
        <v>44982</v>
      </c>
      <c r="G328" s="6" t="str">
        <f>_xlfn.XLOOKUP(K:K,Products!B:B,Products!E:E," ")</f>
        <v xml:space="preserve"> </v>
      </c>
      <c r="H328" s="6" t="str">
        <f>_xlfn.XLOOKUP(Orders!K:K,Products!B:B,Products!F:F," ")</f>
        <v xml:space="preserve"> </v>
      </c>
      <c r="I328" s="6" t="str">
        <f>_xlfn.XLOOKUP(K:K,Products!B:B,Products!C:C," ")</f>
        <v xml:space="preserve"> </v>
      </c>
      <c r="J328" s="8" t="str">
        <f>_xlfn.XLOOKUP(K:K,Products!B:B,Products!D:D," ")</f>
        <v xml:space="preserve"> </v>
      </c>
      <c r="K328">
        <v>26</v>
      </c>
      <c r="L328" t="s">
        <v>23</v>
      </c>
      <c r="M328" t="str">
        <f>_xlfn.XLOOKUP(K:K,Products!B:B,Products!A:A," ")</f>
        <v xml:space="preserve"> </v>
      </c>
    </row>
    <row r="329" spans="1:13" x14ac:dyDescent="0.2">
      <c r="A329" t="s">
        <v>25</v>
      </c>
      <c r="B329">
        <v>350.01</v>
      </c>
      <c r="C329">
        <v>328</v>
      </c>
      <c r="D329" t="s">
        <v>20</v>
      </c>
      <c r="E329">
        <v>15</v>
      </c>
      <c r="F329" s="6">
        <v>44929</v>
      </c>
      <c r="G329" s="6" t="str">
        <f>_xlfn.XLOOKUP(K:K,Products!B:B,Products!E:E," ")</f>
        <v>Office</v>
      </c>
      <c r="H329" s="6" t="str">
        <f>_xlfn.XLOOKUP(Orders!K:K,Products!B:B,Products!F:F," ")</f>
        <v>Stationery Model 1</v>
      </c>
      <c r="I329" s="6" t="str">
        <f>_xlfn.XLOOKUP(K:K,Products!B:B,Products!C:C," ")</f>
        <v>BrandB</v>
      </c>
      <c r="J329" s="8">
        <f>_xlfn.XLOOKUP(K:K,Products!B:B,Products!D:D," ")</f>
        <v>73</v>
      </c>
      <c r="K329">
        <v>19</v>
      </c>
      <c r="L329" t="s">
        <v>18</v>
      </c>
      <c r="M329" t="str">
        <f>_xlfn.XLOOKUP(K:K,Products!B:B,Products!A:A," ")</f>
        <v>Stationery</v>
      </c>
    </row>
    <row r="330" spans="1:13" x14ac:dyDescent="0.2">
      <c r="A330" t="s">
        <v>25</v>
      </c>
      <c r="B330">
        <v>52.82</v>
      </c>
      <c r="C330">
        <v>329</v>
      </c>
      <c r="D330" t="s">
        <v>17</v>
      </c>
      <c r="E330">
        <v>48</v>
      </c>
      <c r="F330" s="6">
        <v>45232</v>
      </c>
      <c r="G330" s="6" t="str">
        <f>_xlfn.XLOOKUP(K:K,Products!B:B,Products!E:E," ")</f>
        <v xml:space="preserve"> </v>
      </c>
      <c r="H330" s="6" t="str">
        <f>_xlfn.XLOOKUP(Orders!K:K,Products!B:B,Products!F:F," ")</f>
        <v xml:space="preserve"> </v>
      </c>
      <c r="I330" s="6" t="str">
        <f>_xlfn.XLOOKUP(K:K,Products!B:B,Products!C:C," ")</f>
        <v xml:space="preserve"> </v>
      </c>
      <c r="J330" s="8" t="str">
        <f>_xlfn.XLOOKUP(K:K,Products!B:B,Products!D:D," ")</f>
        <v xml:space="preserve"> </v>
      </c>
      <c r="K330">
        <v>27</v>
      </c>
      <c r="L330" t="s">
        <v>23</v>
      </c>
      <c r="M330" t="str">
        <f>_xlfn.XLOOKUP(K:K,Products!B:B,Products!A:A," ")</f>
        <v xml:space="preserve"> </v>
      </c>
    </row>
    <row r="331" spans="1:13" x14ac:dyDescent="0.2">
      <c r="A331" t="s">
        <v>21</v>
      </c>
      <c r="B331">
        <v>334.63</v>
      </c>
      <c r="C331">
        <v>330</v>
      </c>
      <c r="D331" t="s">
        <v>24</v>
      </c>
      <c r="E331">
        <v>24</v>
      </c>
      <c r="F331" s="6">
        <v>45149</v>
      </c>
      <c r="G331" s="6" t="str">
        <f>_xlfn.XLOOKUP(K:K,Products!B:B,Products!E:E," ")</f>
        <v>Home</v>
      </c>
      <c r="H331" s="6" t="str">
        <f>_xlfn.XLOOKUP(Orders!K:K,Products!B:B,Products!F:F," ")</f>
        <v>Cleaning Model 2</v>
      </c>
      <c r="I331" s="6" t="str">
        <f>_xlfn.XLOOKUP(K:K,Products!B:B,Products!C:C," ")</f>
        <v>BrandB</v>
      </c>
      <c r="J331" s="8">
        <f>_xlfn.XLOOKUP(K:K,Products!B:B,Products!D:D," ")</f>
        <v>209.52</v>
      </c>
      <c r="K331">
        <v>12</v>
      </c>
      <c r="L331" t="s">
        <v>26</v>
      </c>
      <c r="M331" t="str">
        <f>_xlfn.XLOOKUP(K:K,Products!B:B,Products!A:A," ")</f>
        <v>Cleaning</v>
      </c>
    </row>
    <row r="332" spans="1:13" x14ac:dyDescent="0.2">
      <c r="A332" t="s">
        <v>16</v>
      </c>
      <c r="B332">
        <v>239.46</v>
      </c>
      <c r="C332">
        <v>331</v>
      </c>
      <c r="D332" t="s">
        <v>22</v>
      </c>
      <c r="E332">
        <v>34</v>
      </c>
      <c r="F332" s="6">
        <v>45200</v>
      </c>
      <c r="G332" s="6" t="str">
        <f>_xlfn.XLOOKUP(K:K,Products!B:B,Products!E:E," ")</f>
        <v>Electronics</v>
      </c>
      <c r="H332" s="6" t="str">
        <f>_xlfn.XLOOKUP(Orders!K:K,Products!B:B,Products!F:F," ")</f>
        <v>Tablet Model 1</v>
      </c>
      <c r="I332" s="6" t="str">
        <f>_xlfn.XLOOKUP(K:K,Products!B:B,Products!C:C," ")</f>
        <v>BrandD</v>
      </c>
      <c r="J332" s="8">
        <f>_xlfn.XLOOKUP(K:K,Products!B:B,Products!D:D," ")</f>
        <v>55.43</v>
      </c>
      <c r="K332">
        <v>5</v>
      </c>
      <c r="L332" t="s">
        <v>28</v>
      </c>
      <c r="M332" t="str">
        <f>_xlfn.XLOOKUP(K:K,Products!B:B,Products!A:A," ")</f>
        <v>Tablet</v>
      </c>
    </row>
    <row r="333" spans="1:13" x14ac:dyDescent="0.2">
      <c r="A333" t="s">
        <v>21</v>
      </c>
      <c r="B333">
        <v>443.16</v>
      </c>
      <c r="C333">
        <v>332</v>
      </c>
      <c r="D333" t="s">
        <v>22</v>
      </c>
      <c r="E333">
        <v>4</v>
      </c>
      <c r="F333" s="6">
        <v>45270</v>
      </c>
      <c r="G333" s="6" t="str">
        <f>_xlfn.XLOOKUP(K:K,Products!B:B,Products!E:E," ")</f>
        <v>Electronics</v>
      </c>
      <c r="H333" s="6" t="str">
        <f>_xlfn.XLOOKUP(Orders!K:K,Products!B:B,Products!F:F," ")</f>
        <v>Tablet Model 2</v>
      </c>
      <c r="I333" s="6" t="str">
        <f>_xlfn.XLOOKUP(K:K,Products!B:B,Products!C:C," ")</f>
        <v>BrandB</v>
      </c>
      <c r="J333" s="8">
        <f>_xlfn.XLOOKUP(K:K,Products!B:B,Products!D:D," ")</f>
        <v>184.01</v>
      </c>
      <c r="K333">
        <v>6</v>
      </c>
      <c r="L333" t="s">
        <v>23</v>
      </c>
      <c r="M333" t="str">
        <f>_xlfn.XLOOKUP(K:K,Products!B:B,Products!A:A," ")</f>
        <v>Tablet</v>
      </c>
    </row>
    <row r="334" spans="1:13" x14ac:dyDescent="0.2">
      <c r="A334" t="s">
        <v>21</v>
      </c>
      <c r="B334">
        <v>142.13999999999999</v>
      </c>
      <c r="C334">
        <v>333</v>
      </c>
      <c r="D334" t="s">
        <v>22</v>
      </c>
      <c r="E334">
        <v>3</v>
      </c>
      <c r="F334" s="6">
        <v>44988</v>
      </c>
      <c r="G334" s="6" t="str">
        <f>_xlfn.XLOOKUP(K:K,Products!B:B,Products!E:E," ")</f>
        <v>Electronics</v>
      </c>
      <c r="H334" s="6" t="str">
        <f>_xlfn.XLOOKUP(Orders!K:K,Products!B:B,Products!F:F," ")</f>
        <v>Tablet Model 1</v>
      </c>
      <c r="I334" s="6" t="str">
        <f>_xlfn.XLOOKUP(K:K,Products!B:B,Products!C:C," ")</f>
        <v>BrandD</v>
      </c>
      <c r="J334" s="8">
        <f>_xlfn.XLOOKUP(K:K,Products!B:B,Products!D:D," ")</f>
        <v>55.43</v>
      </c>
      <c r="K334">
        <v>5</v>
      </c>
      <c r="L334" t="s">
        <v>29</v>
      </c>
      <c r="M334" t="str">
        <f>_xlfn.XLOOKUP(K:K,Products!B:B,Products!A:A," ")</f>
        <v>Tablet</v>
      </c>
    </row>
    <row r="335" spans="1:13" x14ac:dyDescent="0.2">
      <c r="A335" t="s">
        <v>19</v>
      </c>
      <c r="B335">
        <v>70.349999999999994</v>
      </c>
      <c r="C335">
        <v>334</v>
      </c>
      <c r="D335" t="s">
        <v>24</v>
      </c>
      <c r="E335">
        <v>50</v>
      </c>
      <c r="F335" s="6">
        <v>44989</v>
      </c>
      <c r="G335" s="6" t="str">
        <f>_xlfn.XLOOKUP(K:K,Products!B:B,Products!E:E," ")</f>
        <v xml:space="preserve"> </v>
      </c>
      <c r="H335" s="6" t="str">
        <f>_xlfn.XLOOKUP(Orders!K:K,Products!B:B,Products!F:F," ")</f>
        <v xml:space="preserve"> </v>
      </c>
      <c r="I335" s="6" t="str">
        <f>_xlfn.XLOOKUP(K:K,Products!B:B,Products!C:C," ")</f>
        <v xml:space="preserve"> </v>
      </c>
      <c r="J335" s="8" t="str">
        <f>_xlfn.XLOOKUP(K:K,Products!B:B,Products!D:D," ")</f>
        <v xml:space="preserve"> </v>
      </c>
      <c r="K335">
        <v>25</v>
      </c>
      <c r="L335" t="s">
        <v>23</v>
      </c>
      <c r="M335" t="str">
        <f>_xlfn.XLOOKUP(K:K,Products!B:B,Products!A:A," ")</f>
        <v xml:space="preserve"> </v>
      </c>
    </row>
    <row r="336" spans="1:13" x14ac:dyDescent="0.2">
      <c r="A336" t="s">
        <v>25</v>
      </c>
      <c r="B336">
        <v>144.38</v>
      </c>
      <c r="C336">
        <v>335</v>
      </c>
      <c r="D336" t="s">
        <v>22</v>
      </c>
      <c r="E336">
        <v>44</v>
      </c>
      <c r="F336" s="6">
        <v>45147</v>
      </c>
      <c r="G336" s="6" t="str">
        <f>_xlfn.XLOOKUP(K:K,Products!B:B,Products!E:E," ")</f>
        <v xml:space="preserve"> </v>
      </c>
      <c r="H336" s="6" t="str">
        <f>_xlfn.XLOOKUP(Orders!K:K,Products!B:B,Products!F:F," ")</f>
        <v xml:space="preserve"> </v>
      </c>
      <c r="I336" s="6" t="str">
        <f>_xlfn.XLOOKUP(K:K,Products!B:B,Products!C:C," ")</f>
        <v xml:space="preserve"> </v>
      </c>
      <c r="J336" s="8" t="str">
        <f>_xlfn.XLOOKUP(K:K,Products!B:B,Products!D:D," ")</f>
        <v xml:space="preserve"> </v>
      </c>
      <c r="K336">
        <v>28</v>
      </c>
      <c r="L336" t="s">
        <v>29</v>
      </c>
      <c r="M336" t="str">
        <f>_xlfn.XLOOKUP(K:K,Products!B:B,Products!A:A," ")</f>
        <v xml:space="preserve"> </v>
      </c>
    </row>
    <row r="337" spans="1:13" x14ac:dyDescent="0.2">
      <c r="A337" t="s">
        <v>25</v>
      </c>
      <c r="B337">
        <v>50.71</v>
      </c>
      <c r="C337">
        <v>336</v>
      </c>
      <c r="D337" t="s">
        <v>24</v>
      </c>
      <c r="E337">
        <v>16</v>
      </c>
      <c r="F337" s="6">
        <v>45051</v>
      </c>
      <c r="G337" s="6" t="str">
        <f>_xlfn.XLOOKUP(K:K,Products!B:B,Products!E:E," ")</f>
        <v>Electronics</v>
      </c>
      <c r="H337" s="6" t="str">
        <f>_xlfn.XLOOKUP(Orders!K:K,Products!B:B,Products!F:F," ")</f>
        <v>Smartphone Model 1</v>
      </c>
      <c r="I337" s="6" t="str">
        <f>_xlfn.XLOOKUP(K:K,Products!B:B,Products!C:C," ")</f>
        <v>BrandC</v>
      </c>
      <c r="J337" s="8">
        <f>_xlfn.XLOOKUP(K:K,Products!B:B,Products!D:D," ")</f>
        <v>285.64999999999998</v>
      </c>
      <c r="K337">
        <v>1</v>
      </c>
      <c r="L337" t="s">
        <v>18</v>
      </c>
      <c r="M337" t="str">
        <f>_xlfn.XLOOKUP(K:K,Products!B:B,Products!A:A," ")</f>
        <v>Smartphone</v>
      </c>
    </row>
    <row r="338" spans="1:13" x14ac:dyDescent="0.2">
      <c r="A338" t="s">
        <v>21</v>
      </c>
      <c r="B338">
        <v>55.19</v>
      </c>
      <c r="C338">
        <v>337</v>
      </c>
      <c r="D338" t="s">
        <v>17</v>
      </c>
      <c r="E338">
        <v>38</v>
      </c>
      <c r="F338" s="6">
        <v>45269</v>
      </c>
      <c r="G338" s="6" t="str">
        <f>_xlfn.XLOOKUP(K:K,Products!B:B,Products!E:E," ")</f>
        <v>Home</v>
      </c>
      <c r="H338" s="6" t="str">
        <f>_xlfn.XLOOKUP(Orders!K:K,Products!B:B,Products!F:F," ")</f>
        <v>Furniture Model 1</v>
      </c>
      <c r="I338" s="6" t="str">
        <f>_xlfn.XLOOKUP(K:K,Products!B:B,Products!C:C," ")</f>
        <v>BrandD</v>
      </c>
      <c r="J338" s="8">
        <f>_xlfn.XLOOKUP(K:K,Products!B:B,Products!D:D," ")</f>
        <v>7.21</v>
      </c>
      <c r="K338">
        <v>9</v>
      </c>
      <c r="L338" t="s">
        <v>28</v>
      </c>
      <c r="M338" t="str">
        <f>_xlfn.XLOOKUP(K:K,Products!B:B,Products!A:A," ")</f>
        <v>Furniture</v>
      </c>
    </row>
    <row r="339" spans="1:13" x14ac:dyDescent="0.2">
      <c r="A339" t="s">
        <v>19</v>
      </c>
      <c r="B339">
        <v>78.31</v>
      </c>
      <c r="C339">
        <v>338</v>
      </c>
      <c r="D339" t="s">
        <v>24</v>
      </c>
      <c r="E339">
        <v>24</v>
      </c>
      <c r="F339" s="6">
        <v>45154</v>
      </c>
      <c r="G339" s="6" t="str">
        <f>_xlfn.XLOOKUP(K:K,Products!B:B,Products!E:E," ")</f>
        <v>Home</v>
      </c>
      <c r="H339" s="6" t="str">
        <f>_xlfn.XLOOKUP(Orders!K:K,Products!B:B,Products!F:F," ")</f>
        <v>Furniture Model 1</v>
      </c>
      <c r="I339" s="6" t="str">
        <f>_xlfn.XLOOKUP(K:K,Products!B:B,Products!C:C," ")</f>
        <v>BrandD</v>
      </c>
      <c r="J339" s="8">
        <f>_xlfn.XLOOKUP(K:K,Products!B:B,Products!D:D," ")</f>
        <v>7.21</v>
      </c>
      <c r="K339">
        <v>9</v>
      </c>
      <c r="L339" t="s">
        <v>27</v>
      </c>
      <c r="M339" t="str">
        <f>_xlfn.XLOOKUP(K:K,Products!B:B,Products!A:A," ")</f>
        <v>Furniture</v>
      </c>
    </row>
    <row r="340" spans="1:13" x14ac:dyDescent="0.2">
      <c r="A340" t="s">
        <v>16</v>
      </c>
      <c r="B340">
        <v>465.64</v>
      </c>
      <c r="C340">
        <v>339</v>
      </c>
      <c r="D340" t="s">
        <v>20</v>
      </c>
      <c r="E340">
        <v>33</v>
      </c>
      <c r="F340" s="6">
        <v>44955</v>
      </c>
      <c r="G340" s="6" t="str">
        <f>_xlfn.XLOOKUP(K:K,Products!B:B,Products!E:E," ")</f>
        <v xml:space="preserve"> </v>
      </c>
      <c r="H340" s="6" t="str">
        <f>_xlfn.XLOOKUP(Orders!K:K,Products!B:B,Products!F:F," ")</f>
        <v xml:space="preserve"> </v>
      </c>
      <c r="I340" s="6" t="str">
        <f>_xlfn.XLOOKUP(K:K,Products!B:B,Products!C:C," ")</f>
        <v xml:space="preserve"> </v>
      </c>
      <c r="J340" s="8" t="str">
        <f>_xlfn.XLOOKUP(K:K,Products!B:B,Products!D:D," ")</f>
        <v xml:space="preserve"> </v>
      </c>
      <c r="K340">
        <v>30</v>
      </c>
      <c r="L340" t="s">
        <v>28</v>
      </c>
      <c r="M340" t="str">
        <f>_xlfn.XLOOKUP(K:K,Products!B:B,Products!A:A," ")</f>
        <v xml:space="preserve"> </v>
      </c>
    </row>
    <row r="341" spans="1:13" x14ac:dyDescent="0.2">
      <c r="A341" t="s">
        <v>25</v>
      </c>
      <c r="B341">
        <v>331</v>
      </c>
      <c r="C341">
        <v>340</v>
      </c>
      <c r="D341" t="s">
        <v>17</v>
      </c>
      <c r="E341">
        <v>32</v>
      </c>
      <c r="F341" s="6">
        <v>45174</v>
      </c>
      <c r="G341" s="6" t="str">
        <f>_xlfn.XLOOKUP(K:K,Products!B:B,Products!E:E," ")</f>
        <v>Office</v>
      </c>
      <c r="H341" s="6" t="str">
        <f>_xlfn.XLOOKUP(Orders!K:K,Products!B:B,Products!F:F," ")</f>
        <v>Printers Model 1</v>
      </c>
      <c r="I341" s="6" t="str">
        <f>_xlfn.XLOOKUP(K:K,Products!B:B,Products!C:C," ")</f>
        <v>BrandA</v>
      </c>
      <c r="J341" s="8">
        <f>_xlfn.XLOOKUP(K:K,Products!B:B,Products!D:D," ")</f>
        <v>36.47</v>
      </c>
      <c r="K341">
        <v>23</v>
      </c>
      <c r="L341" t="s">
        <v>23</v>
      </c>
      <c r="M341" t="str">
        <f>_xlfn.XLOOKUP(K:K,Products!B:B,Products!A:A," ")</f>
        <v>Printers</v>
      </c>
    </row>
    <row r="342" spans="1:13" x14ac:dyDescent="0.2">
      <c r="A342" t="s">
        <v>25</v>
      </c>
      <c r="B342">
        <v>193.52</v>
      </c>
      <c r="C342">
        <v>341</v>
      </c>
      <c r="D342" t="s">
        <v>24</v>
      </c>
      <c r="E342">
        <v>4</v>
      </c>
      <c r="F342" s="6">
        <v>44940</v>
      </c>
      <c r="G342" s="6" t="str">
        <f>_xlfn.XLOOKUP(K:K,Products!B:B,Products!E:E," ")</f>
        <v xml:space="preserve"> </v>
      </c>
      <c r="H342" s="6" t="str">
        <f>_xlfn.XLOOKUP(Orders!K:K,Products!B:B,Products!F:F," ")</f>
        <v xml:space="preserve"> </v>
      </c>
      <c r="I342" s="6" t="str">
        <f>_xlfn.XLOOKUP(K:K,Products!B:B,Products!C:C," ")</f>
        <v xml:space="preserve"> </v>
      </c>
      <c r="J342" s="8" t="str">
        <f>_xlfn.XLOOKUP(K:K,Products!B:B,Products!D:D," ")</f>
        <v xml:space="preserve"> </v>
      </c>
      <c r="K342">
        <v>28</v>
      </c>
      <c r="L342" t="s">
        <v>27</v>
      </c>
      <c r="M342" t="str">
        <f>_xlfn.XLOOKUP(K:K,Products!B:B,Products!A:A," ")</f>
        <v xml:space="preserve"> </v>
      </c>
    </row>
    <row r="343" spans="1:13" x14ac:dyDescent="0.2">
      <c r="A343" t="s">
        <v>19</v>
      </c>
      <c r="B343">
        <v>152.46</v>
      </c>
      <c r="C343">
        <v>342</v>
      </c>
      <c r="D343" t="s">
        <v>20</v>
      </c>
      <c r="E343">
        <v>23</v>
      </c>
      <c r="F343" s="6">
        <v>44957</v>
      </c>
      <c r="G343" s="6" t="str">
        <f>_xlfn.XLOOKUP(K:K,Products!B:B,Products!E:E," ")</f>
        <v>Home</v>
      </c>
      <c r="H343" s="6" t="str">
        <f>_xlfn.XLOOKUP(Orders!K:K,Products!B:B,Products!F:F," ")</f>
        <v>Kitchen Model 2</v>
      </c>
      <c r="I343" s="6" t="str">
        <f>_xlfn.XLOOKUP(K:K,Products!B:B,Products!C:C," ")</f>
        <v>BrandC</v>
      </c>
      <c r="J343" s="8">
        <f>_xlfn.XLOOKUP(K:K,Products!B:B,Products!D:D," ")</f>
        <v>163.13999999999999</v>
      </c>
      <c r="K343">
        <v>8</v>
      </c>
      <c r="L343" t="s">
        <v>18</v>
      </c>
      <c r="M343" t="str">
        <f>_xlfn.XLOOKUP(K:K,Products!B:B,Products!A:A," ")</f>
        <v>Kitchen</v>
      </c>
    </row>
    <row r="344" spans="1:13" x14ac:dyDescent="0.2">
      <c r="A344" t="s">
        <v>21</v>
      </c>
      <c r="B344">
        <v>53.67</v>
      </c>
      <c r="C344">
        <v>343</v>
      </c>
      <c r="D344" t="s">
        <v>24</v>
      </c>
      <c r="E344">
        <v>21</v>
      </c>
      <c r="F344" s="6">
        <v>45090</v>
      </c>
      <c r="G344" s="6" t="str">
        <f>_xlfn.XLOOKUP(K:K,Products!B:B,Products!E:E," ")</f>
        <v>Sports</v>
      </c>
      <c r="H344" s="6" t="str">
        <f>_xlfn.XLOOKUP(Orders!K:K,Products!B:B,Products!F:F," ")</f>
        <v>Outdoor Model 1</v>
      </c>
      <c r="I344" s="6" t="str">
        <f>_xlfn.XLOOKUP(K:K,Products!B:B,Products!C:C," ")</f>
        <v>BrandD</v>
      </c>
      <c r="J344" s="8">
        <f>_xlfn.XLOOKUP(K:K,Products!B:B,Products!D:D," ")</f>
        <v>223.53</v>
      </c>
      <c r="K344">
        <v>15</v>
      </c>
      <c r="L344" t="s">
        <v>27</v>
      </c>
      <c r="M344" t="str">
        <f>_xlfn.XLOOKUP(K:K,Products!B:B,Products!A:A," ")</f>
        <v>Outdoor</v>
      </c>
    </row>
    <row r="345" spans="1:13" x14ac:dyDescent="0.2">
      <c r="A345" t="s">
        <v>21</v>
      </c>
      <c r="B345">
        <v>454.94</v>
      </c>
      <c r="C345">
        <v>344</v>
      </c>
      <c r="D345" t="s">
        <v>22</v>
      </c>
      <c r="E345">
        <v>24</v>
      </c>
      <c r="F345" s="6">
        <v>45278</v>
      </c>
      <c r="G345" s="6" t="str">
        <f>_xlfn.XLOOKUP(K:K,Products!B:B,Products!E:E," ")</f>
        <v>Office</v>
      </c>
      <c r="H345" s="6" t="str">
        <f>_xlfn.XLOOKUP(Orders!K:K,Products!B:B,Products!F:F," ")</f>
        <v>Stationery Model 2</v>
      </c>
      <c r="I345" s="6" t="str">
        <f>_xlfn.XLOOKUP(K:K,Products!B:B,Products!C:C," ")</f>
        <v>BrandC</v>
      </c>
      <c r="J345" s="8">
        <f>_xlfn.XLOOKUP(K:K,Products!B:B,Products!D:D," ")</f>
        <v>170.2</v>
      </c>
      <c r="K345">
        <v>20</v>
      </c>
      <c r="L345" t="s">
        <v>29</v>
      </c>
      <c r="M345" t="str">
        <f>_xlfn.XLOOKUP(K:K,Products!B:B,Products!A:A," ")</f>
        <v>Stationery</v>
      </c>
    </row>
    <row r="346" spans="1:13" x14ac:dyDescent="0.2">
      <c r="A346" t="s">
        <v>16</v>
      </c>
      <c r="B346">
        <v>10.33</v>
      </c>
      <c r="C346">
        <v>345</v>
      </c>
      <c r="D346" t="s">
        <v>22</v>
      </c>
      <c r="E346">
        <v>31</v>
      </c>
      <c r="F346" s="6">
        <v>44939</v>
      </c>
      <c r="G346" s="6" t="str">
        <f>_xlfn.XLOOKUP(K:K,Products!B:B,Products!E:E," ")</f>
        <v xml:space="preserve"> </v>
      </c>
      <c r="H346" s="6" t="str">
        <f>_xlfn.XLOOKUP(Orders!K:K,Products!B:B,Products!F:F," ")</f>
        <v xml:space="preserve"> </v>
      </c>
      <c r="I346" s="6" t="str">
        <f>_xlfn.XLOOKUP(K:K,Products!B:B,Products!C:C," ")</f>
        <v xml:space="preserve"> </v>
      </c>
      <c r="J346" s="8" t="str">
        <f>_xlfn.XLOOKUP(K:K,Products!B:B,Products!D:D," ")</f>
        <v xml:space="preserve"> </v>
      </c>
      <c r="K346">
        <v>28</v>
      </c>
      <c r="L346" t="s">
        <v>18</v>
      </c>
      <c r="M346" t="str">
        <f>_xlfn.XLOOKUP(K:K,Products!B:B,Products!A:A," ")</f>
        <v xml:space="preserve"> </v>
      </c>
    </row>
    <row r="347" spans="1:13" x14ac:dyDescent="0.2">
      <c r="A347" t="s">
        <v>21</v>
      </c>
      <c r="B347">
        <v>35.76</v>
      </c>
      <c r="C347">
        <v>346</v>
      </c>
      <c r="D347" t="s">
        <v>22</v>
      </c>
      <c r="E347">
        <v>4</v>
      </c>
      <c r="F347" s="6">
        <v>45251</v>
      </c>
      <c r="G347" s="6" t="str">
        <f>_xlfn.XLOOKUP(K:K,Products!B:B,Products!E:E," ")</f>
        <v>Office</v>
      </c>
      <c r="H347" s="6" t="str">
        <f>_xlfn.XLOOKUP(Orders!K:K,Products!B:B,Products!F:F," ")</f>
        <v>Office Furniture Model 1</v>
      </c>
      <c r="I347" s="6" t="str">
        <f>_xlfn.XLOOKUP(K:K,Products!B:B,Products!C:C," ")</f>
        <v>BrandC</v>
      </c>
      <c r="J347" s="8">
        <f>_xlfn.XLOOKUP(K:K,Products!B:B,Products!D:D," ")</f>
        <v>67.66</v>
      </c>
      <c r="K347">
        <v>21</v>
      </c>
      <c r="L347" t="s">
        <v>23</v>
      </c>
      <c r="M347" t="str">
        <f>_xlfn.XLOOKUP(K:K,Products!B:B,Products!A:A," ")</f>
        <v>Office Furniture</v>
      </c>
    </row>
    <row r="348" spans="1:13" x14ac:dyDescent="0.2">
      <c r="A348" t="s">
        <v>25</v>
      </c>
      <c r="B348">
        <v>476.85</v>
      </c>
      <c r="C348">
        <v>347</v>
      </c>
      <c r="D348" t="s">
        <v>20</v>
      </c>
      <c r="E348">
        <v>16</v>
      </c>
      <c r="F348" s="6">
        <v>45229</v>
      </c>
      <c r="G348" s="6" t="str">
        <f>_xlfn.XLOOKUP(K:K,Products!B:B,Products!E:E," ")</f>
        <v>Electronics</v>
      </c>
      <c r="H348" s="6" t="str">
        <f>_xlfn.XLOOKUP(Orders!K:K,Products!B:B,Products!F:F," ")</f>
        <v>Tablet Model 1</v>
      </c>
      <c r="I348" s="6" t="str">
        <f>_xlfn.XLOOKUP(K:K,Products!B:B,Products!C:C," ")</f>
        <v>BrandD</v>
      </c>
      <c r="J348" s="8">
        <f>_xlfn.XLOOKUP(K:K,Products!B:B,Products!D:D," ")</f>
        <v>55.43</v>
      </c>
      <c r="K348">
        <v>5</v>
      </c>
      <c r="L348" t="s">
        <v>26</v>
      </c>
      <c r="M348" t="str">
        <f>_xlfn.XLOOKUP(K:K,Products!B:B,Products!A:A," ")</f>
        <v>Tablet</v>
      </c>
    </row>
    <row r="349" spans="1:13" x14ac:dyDescent="0.2">
      <c r="A349" t="s">
        <v>21</v>
      </c>
      <c r="B349">
        <v>141.08000000000001</v>
      </c>
      <c r="C349">
        <v>348</v>
      </c>
      <c r="D349" t="s">
        <v>20</v>
      </c>
      <c r="E349">
        <v>28</v>
      </c>
      <c r="F349" s="6">
        <v>45011</v>
      </c>
      <c r="G349" s="6" t="str">
        <f>_xlfn.XLOOKUP(K:K,Products!B:B,Products!E:E," ")</f>
        <v>Home</v>
      </c>
      <c r="H349" s="6" t="str">
        <f>_xlfn.XLOOKUP(Orders!K:K,Products!B:B,Products!F:F," ")</f>
        <v>Furniture Model 2</v>
      </c>
      <c r="I349" s="6" t="str">
        <f>_xlfn.XLOOKUP(K:K,Products!B:B,Products!C:C," ")</f>
        <v>BrandD</v>
      </c>
      <c r="J349" s="8">
        <f>_xlfn.XLOOKUP(K:K,Products!B:B,Products!D:D," ")</f>
        <v>3.75</v>
      </c>
      <c r="K349">
        <v>10</v>
      </c>
      <c r="L349" t="s">
        <v>26</v>
      </c>
      <c r="M349" t="str">
        <f>_xlfn.XLOOKUP(K:K,Products!B:B,Products!A:A," ")</f>
        <v>Furniture</v>
      </c>
    </row>
    <row r="350" spans="1:13" x14ac:dyDescent="0.2">
      <c r="A350" t="s">
        <v>16</v>
      </c>
      <c r="B350">
        <v>496.17</v>
      </c>
      <c r="C350">
        <v>349</v>
      </c>
      <c r="D350" t="s">
        <v>17</v>
      </c>
      <c r="E350">
        <v>2</v>
      </c>
      <c r="F350" s="6">
        <v>45282</v>
      </c>
      <c r="G350" s="6" t="str">
        <f>_xlfn.XLOOKUP(K:K,Products!B:B,Products!E:E," ")</f>
        <v xml:space="preserve"> </v>
      </c>
      <c r="H350" s="6" t="str">
        <f>_xlfn.XLOOKUP(Orders!K:K,Products!B:B,Products!F:F," ")</f>
        <v xml:space="preserve"> </v>
      </c>
      <c r="I350" s="6" t="str">
        <f>_xlfn.XLOOKUP(K:K,Products!B:B,Products!C:C," ")</f>
        <v xml:space="preserve"> </v>
      </c>
      <c r="J350" s="8" t="str">
        <f>_xlfn.XLOOKUP(K:K,Products!B:B,Products!D:D," ")</f>
        <v xml:space="preserve"> </v>
      </c>
      <c r="K350">
        <v>25</v>
      </c>
      <c r="L350" t="s">
        <v>23</v>
      </c>
      <c r="M350" t="str">
        <f>_xlfn.XLOOKUP(K:K,Products!B:B,Products!A:A," ")</f>
        <v xml:space="preserve"> </v>
      </c>
    </row>
    <row r="351" spans="1:13" x14ac:dyDescent="0.2">
      <c r="A351" t="s">
        <v>16</v>
      </c>
      <c r="B351">
        <v>54.45</v>
      </c>
      <c r="C351">
        <v>350</v>
      </c>
      <c r="D351" t="s">
        <v>22</v>
      </c>
      <c r="E351">
        <v>40</v>
      </c>
      <c r="F351" s="6">
        <v>45147</v>
      </c>
      <c r="G351" s="6" t="str">
        <f>_xlfn.XLOOKUP(K:K,Products!B:B,Products!E:E," ")</f>
        <v xml:space="preserve"> </v>
      </c>
      <c r="H351" s="6" t="str">
        <f>_xlfn.XLOOKUP(Orders!K:K,Products!B:B,Products!F:F," ")</f>
        <v xml:space="preserve"> </v>
      </c>
      <c r="I351" s="6" t="str">
        <f>_xlfn.XLOOKUP(K:K,Products!B:B,Products!C:C," ")</f>
        <v xml:space="preserve"> </v>
      </c>
      <c r="J351" s="8" t="str">
        <f>_xlfn.XLOOKUP(K:K,Products!B:B,Products!D:D," ")</f>
        <v xml:space="preserve"> </v>
      </c>
      <c r="K351">
        <v>30</v>
      </c>
      <c r="L351" t="s">
        <v>29</v>
      </c>
      <c r="M351" t="str">
        <f>_xlfn.XLOOKUP(K:K,Products!B:B,Products!A:A," ")</f>
        <v xml:space="preserve"> </v>
      </c>
    </row>
    <row r="352" spans="1:13" x14ac:dyDescent="0.2">
      <c r="A352" t="s">
        <v>21</v>
      </c>
      <c r="B352">
        <v>17.61</v>
      </c>
      <c r="C352">
        <v>351</v>
      </c>
      <c r="D352" t="s">
        <v>20</v>
      </c>
      <c r="E352">
        <v>15</v>
      </c>
      <c r="F352" s="6">
        <v>45289</v>
      </c>
      <c r="G352" s="6" t="str">
        <f>_xlfn.XLOOKUP(K:K,Products!B:B,Products!E:E," ")</f>
        <v>Electronics</v>
      </c>
      <c r="H352" s="6" t="str">
        <f>_xlfn.XLOOKUP(Orders!K:K,Products!B:B,Products!F:F," ")</f>
        <v>Laptop Model 2</v>
      </c>
      <c r="I352" s="6" t="str">
        <f>_xlfn.XLOOKUP(K:K,Products!B:B,Products!C:C," ")</f>
        <v>BrandB</v>
      </c>
      <c r="J352" s="8">
        <f>_xlfn.XLOOKUP(K:K,Products!B:B,Products!D:D," ")</f>
        <v>65.05</v>
      </c>
      <c r="K352">
        <v>4</v>
      </c>
      <c r="L352" t="s">
        <v>23</v>
      </c>
      <c r="M352" t="str">
        <f>_xlfn.XLOOKUP(K:K,Products!B:B,Products!A:A," ")</f>
        <v>Laptop</v>
      </c>
    </row>
    <row r="353" spans="1:13" x14ac:dyDescent="0.2">
      <c r="A353" t="s">
        <v>19</v>
      </c>
      <c r="B353">
        <v>283.45999999999998</v>
      </c>
      <c r="C353">
        <v>352</v>
      </c>
      <c r="D353" t="s">
        <v>17</v>
      </c>
      <c r="E353">
        <v>10</v>
      </c>
      <c r="F353" s="6">
        <v>45114</v>
      </c>
      <c r="G353" s="6" t="str">
        <f>_xlfn.XLOOKUP(K:K,Products!B:B,Products!E:E," ")</f>
        <v>Office</v>
      </c>
      <c r="H353" s="6" t="str">
        <f>_xlfn.XLOOKUP(Orders!K:K,Products!B:B,Products!F:F," ")</f>
        <v>Printers Model 1</v>
      </c>
      <c r="I353" s="6" t="str">
        <f>_xlfn.XLOOKUP(K:K,Products!B:B,Products!C:C," ")</f>
        <v>BrandA</v>
      </c>
      <c r="J353" s="8">
        <f>_xlfn.XLOOKUP(K:K,Products!B:B,Products!D:D," ")</f>
        <v>36.47</v>
      </c>
      <c r="K353">
        <v>23</v>
      </c>
      <c r="L353" t="s">
        <v>28</v>
      </c>
      <c r="M353" t="str">
        <f>_xlfn.XLOOKUP(K:K,Products!B:B,Products!A:A," ")</f>
        <v>Printers</v>
      </c>
    </row>
    <row r="354" spans="1:13" x14ac:dyDescent="0.2">
      <c r="A354" t="s">
        <v>16</v>
      </c>
      <c r="B354">
        <v>419.45</v>
      </c>
      <c r="C354">
        <v>353</v>
      </c>
      <c r="D354" t="s">
        <v>22</v>
      </c>
      <c r="E354">
        <v>32</v>
      </c>
      <c r="F354" s="6">
        <v>45072</v>
      </c>
      <c r="G354" s="6" t="str">
        <f>_xlfn.XLOOKUP(K:K,Products!B:B,Products!E:E," ")</f>
        <v>Electronics</v>
      </c>
      <c r="H354" s="6" t="str">
        <f>_xlfn.XLOOKUP(Orders!K:K,Products!B:B,Products!F:F," ")</f>
        <v>Smartphone Model 2</v>
      </c>
      <c r="I354" s="6" t="str">
        <f>_xlfn.XLOOKUP(K:K,Products!B:B,Products!C:C," ")</f>
        <v>BrandB</v>
      </c>
      <c r="J354" s="8">
        <f>_xlfn.XLOOKUP(K:K,Products!B:B,Products!D:D," ")</f>
        <v>43.27</v>
      </c>
      <c r="K354">
        <v>2</v>
      </c>
      <c r="L354" t="s">
        <v>23</v>
      </c>
      <c r="M354" t="str">
        <f>_xlfn.XLOOKUP(K:K,Products!B:B,Products!A:A," ")</f>
        <v>Smartphone</v>
      </c>
    </row>
    <row r="355" spans="1:13" x14ac:dyDescent="0.2">
      <c r="A355" t="s">
        <v>19</v>
      </c>
      <c r="B355">
        <v>89.65</v>
      </c>
      <c r="C355">
        <v>354</v>
      </c>
      <c r="D355" t="s">
        <v>22</v>
      </c>
      <c r="E355">
        <v>31</v>
      </c>
      <c r="F355" s="6">
        <v>45130</v>
      </c>
      <c r="G355" s="6" t="str">
        <f>_xlfn.XLOOKUP(K:K,Products!B:B,Products!E:E," ")</f>
        <v>Sports</v>
      </c>
      <c r="H355" s="6" t="str">
        <f>_xlfn.XLOOKUP(Orders!K:K,Products!B:B,Products!F:F," ")</f>
        <v>Clothing Model 1</v>
      </c>
      <c r="I355" s="6" t="str">
        <f>_xlfn.XLOOKUP(K:K,Products!B:B,Products!C:C," ")</f>
        <v>BrandD</v>
      </c>
      <c r="J355" s="8">
        <f>_xlfn.XLOOKUP(K:K,Products!B:B,Products!D:D," ")</f>
        <v>111.57</v>
      </c>
      <c r="K355">
        <v>17</v>
      </c>
      <c r="L355" t="s">
        <v>27</v>
      </c>
      <c r="M355" t="str">
        <f>_xlfn.XLOOKUP(K:K,Products!B:B,Products!A:A," ")</f>
        <v>Clothing</v>
      </c>
    </row>
    <row r="356" spans="1:13" x14ac:dyDescent="0.2">
      <c r="A356" t="s">
        <v>19</v>
      </c>
      <c r="B356">
        <v>148.47999999999999</v>
      </c>
      <c r="C356">
        <v>355</v>
      </c>
      <c r="D356" t="s">
        <v>24</v>
      </c>
      <c r="E356">
        <v>2</v>
      </c>
      <c r="F356" s="6">
        <v>45086</v>
      </c>
      <c r="G356" s="6" t="str">
        <f>_xlfn.XLOOKUP(K:K,Products!B:B,Products!E:E," ")</f>
        <v>Sports</v>
      </c>
      <c r="H356" s="6" t="str">
        <f>_xlfn.XLOOKUP(Orders!K:K,Products!B:B,Products!F:F," ")</f>
        <v>Fitness Model 1</v>
      </c>
      <c r="I356" s="6" t="str">
        <f>_xlfn.XLOOKUP(K:K,Products!B:B,Products!C:C," ")</f>
        <v>BrandB</v>
      </c>
      <c r="J356" s="8">
        <f>_xlfn.XLOOKUP(K:K,Products!B:B,Products!D:D," ")</f>
        <v>227.4</v>
      </c>
      <c r="K356">
        <v>13</v>
      </c>
      <c r="L356" t="s">
        <v>23</v>
      </c>
      <c r="M356" t="str">
        <f>_xlfn.XLOOKUP(K:K,Products!B:B,Products!A:A," ")</f>
        <v>Fitness</v>
      </c>
    </row>
    <row r="357" spans="1:13" x14ac:dyDescent="0.2">
      <c r="A357" t="s">
        <v>25</v>
      </c>
      <c r="B357">
        <v>217.97</v>
      </c>
      <c r="C357">
        <v>356</v>
      </c>
      <c r="D357" t="s">
        <v>24</v>
      </c>
      <c r="E357">
        <v>46</v>
      </c>
      <c r="F357" s="6">
        <v>44940</v>
      </c>
      <c r="G357" s="6" t="str">
        <f>_xlfn.XLOOKUP(K:K,Products!B:B,Products!E:E," ")</f>
        <v>Home</v>
      </c>
      <c r="H357" s="6" t="str">
        <f>_xlfn.XLOOKUP(Orders!K:K,Products!B:B,Products!F:F," ")</f>
        <v>Furniture Model 2</v>
      </c>
      <c r="I357" s="6" t="str">
        <f>_xlfn.XLOOKUP(K:K,Products!B:B,Products!C:C," ")</f>
        <v>BrandD</v>
      </c>
      <c r="J357" s="8">
        <f>_xlfn.XLOOKUP(K:K,Products!B:B,Products!D:D," ")</f>
        <v>3.75</v>
      </c>
      <c r="K357">
        <v>10</v>
      </c>
      <c r="L357" t="s">
        <v>27</v>
      </c>
      <c r="M357" t="str">
        <f>_xlfn.XLOOKUP(K:K,Products!B:B,Products!A:A," ")</f>
        <v>Furniture</v>
      </c>
    </row>
    <row r="358" spans="1:13" x14ac:dyDescent="0.2">
      <c r="A358" t="s">
        <v>25</v>
      </c>
      <c r="B358">
        <v>22.48</v>
      </c>
      <c r="C358">
        <v>357</v>
      </c>
      <c r="D358" t="s">
        <v>24</v>
      </c>
      <c r="E358">
        <v>45</v>
      </c>
      <c r="F358" s="6">
        <v>45161</v>
      </c>
      <c r="G358" s="6" t="str">
        <f>_xlfn.XLOOKUP(K:K,Products!B:B,Products!E:E," ")</f>
        <v xml:space="preserve"> </v>
      </c>
      <c r="H358" s="6" t="str">
        <f>_xlfn.XLOOKUP(Orders!K:K,Products!B:B,Products!F:F," ")</f>
        <v xml:space="preserve"> </v>
      </c>
      <c r="I358" s="6" t="str">
        <f>_xlfn.XLOOKUP(K:K,Products!B:B,Products!C:C," ")</f>
        <v xml:space="preserve"> </v>
      </c>
      <c r="J358" s="8" t="str">
        <f>_xlfn.XLOOKUP(K:K,Products!B:B,Products!D:D," ")</f>
        <v xml:space="preserve"> </v>
      </c>
      <c r="K358">
        <v>25</v>
      </c>
      <c r="L358" t="s">
        <v>29</v>
      </c>
      <c r="M358" t="str">
        <f>_xlfn.XLOOKUP(K:K,Products!B:B,Products!A:A," ")</f>
        <v xml:space="preserve"> </v>
      </c>
    </row>
    <row r="359" spans="1:13" x14ac:dyDescent="0.2">
      <c r="A359" t="s">
        <v>19</v>
      </c>
      <c r="B359">
        <v>350.43</v>
      </c>
      <c r="C359">
        <v>358</v>
      </c>
      <c r="D359" t="s">
        <v>17</v>
      </c>
      <c r="E359">
        <v>6</v>
      </c>
      <c r="F359" s="6">
        <v>44931</v>
      </c>
      <c r="G359" s="6" t="str">
        <f>_xlfn.XLOOKUP(K:K,Products!B:B,Products!E:E," ")</f>
        <v>Home</v>
      </c>
      <c r="H359" s="6" t="str">
        <f>_xlfn.XLOOKUP(Orders!K:K,Products!B:B,Products!F:F," ")</f>
        <v>Kitchen Model 2</v>
      </c>
      <c r="I359" s="6" t="str">
        <f>_xlfn.XLOOKUP(K:K,Products!B:B,Products!C:C," ")</f>
        <v>BrandC</v>
      </c>
      <c r="J359" s="8">
        <f>_xlfn.XLOOKUP(K:K,Products!B:B,Products!D:D," ")</f>
        <v>163.13999999999999</v>
      </c>
      <c r="K359">
        <v>8</v>
      </c>
      <c r="L359" t="s">
        <v>27</v>
      </c>
      <c r="M359" t="str">
        <f>_xlfn.XLOOKUP(K:K,Products!B:B,Products!A:A," ")</f>
        <v>Kitchen</v>
      </c>
    </row>
    <row r="360" spans="1:13" x14ac:dyDescent="0.2">
      <c r="A360" t="s">
        <v>25</v>
      </c>
      <c r="B360">
        <v>136.94999999999999</v>
      </c>
      <c r="C360">
        <v>359</v>
      </c>
      <c r="D360" t="s">
        <v>17</v>
      </c>
      <c r="E360">
        <v>8</v>
      </c>
      <c r="F360" s="6">
        <v>45083</v>
      </c>
      <c r="G360" s="6" t="str">
        <f>_xlfn.XLOOKUP(K:K,Products!B:B,Products!E:E," ")</f>
        <v>Sports</v>
      </c>
      <c r="H360" s="6" t="str">
        <f>_xlfn.XLOOKUP(Orders!K:K,Products!B:B,Products!F:F," ")</f>
        <v>Clothing Model 1</v>
      </c>
      <c r="I360" s="6" t="str">
        <f>_xlfn.XLOOKUP(K:K,Products!B:B,Products!C:C," ")</f>
        <v>BrandD</v>
      </c>
      <c r="J360" s="8">
        <f>_xlfn.XLOOKUP(K:K,Products!B:B,Products!D:D," ")</f>
        <v>111.57</v>
      </c>
      <c r="K360">
        <v>17</v>
      </c>
      <c r="L360" t="s">
        <v>18</v>
      </c>
      <c r="M360" t="str">
        <f>_xlfn.XLOOKUP(K:K,Products!B:B,Products!A:A," ")</f>
        <v>Clothing</v>
      </c>
    </row>
    <row r="361" spans="1:13" x14ac:dyDescent="0.2">
      <c r="A361" t="s">
        <v>16</v>
      </c>
      <c r="B361">
        <v>166.19</v>
      </c>
      <c r="C361">
        <v>360</v>
      </c>
      <c r="D361" t="s">
        <v>24</v>
      </c>
      <c r="E361">
        <v>37</v>
      </c>
      <c r="F361" s="6">
        <v>45234</v>
      </c>
      <c r="G361" s="6" t="str">
        <f>_xlfn.XLOOKUP(K:K,Products!B:B,Products!E:E," ")</f>
        <v>Electronics</v>
      </c>
      <c r="H361" s="6" t="str">
        <f>_xlfn.XLOOKUP(Orders!K:K,Products!B:B,Products!F:F," ")</f>
        <v>Laptop Model 1</v>
      </c>
      <c r="I361" s="6" t="str">
        <f>_xlfn.XLOOKUP(K:K,Products!B:B,Products!C:C," ")</f>
        <v>BrandB</v>
      </c>
      <c r="J361" s="8">
        <f>_xlfn.XLOOKUP(K:K,Products!B:B,Products!D:D," ")</f>
        <v>251.46</v>
      </c>
      <c r="K361">
        <v>3</v>
      </c>
      <c r="L361" t="s">
        <v>27</v>
      </c>
      <c r="M361" t="str">
        <f>_xlfn.XLOOKUP(K:K,Products!B:B,Products!A:A," ")</f>
        <v>Laptop</v>
      </c>
    </row>
    <row r="362" spans="1:13" x14ac:dyDescent="0.2">
      <c r="A362" t="s">
        <v>16</v>
      </c>
      <c r="B362">
        <v>453.44</v>
      </c>
      <c r="C362">
        <v>361</v>
      </c>
      <c r="D362" t="s">
        <v>20</v>
      </c>
      <c r="E362">
        <v>16</v>
      </c>
      <c r="F362" s="6">
        <v>45263</v>
      </c>
      <c r="G362" s="6" t="str">
        <f>_xlfn.XLOOKUP(K:K,Products!B:B,Products!E:E," ")</f>
        <v xml:space="preserve"> </v>
      </c>
      <c r="H362" s="6" t="str">
        <f>_xlfn.XLOOKUP(Orders!K:K,Products!B:B,Products!F:F," ")</f>
        <v xml:space="preserve"> </v>
      </c>
      <c r="I362" s="6" t="str">
        <f>_xlfn.XLOOKUP(K:K,Products!B:B,Products!C:C," ")</f>
        <v xml:space="preserve"> </v>
      </c>
      <c r="J362" s="8" t="str">
        <f>_xlfn.XLOOKUP(K:K,Products!B:B,Products!D:D," ")</f>
        <v xml:space="preserve"> </v>
      </c>
      <c r="K362">
        <v>25</v>
      </c>
      <c r="L362" t="s">
        <v>23</v>
      </c>
      <c r="M362" t="str">
        <f>_xlfn.XLOOKUP(K:K,Products!B:B,Products!A:A," ")</f>
        <v xml:space="preserve"> </v>
      </c>
    </row>
    <row r="363" spans="1:13" x14ac:dyDescent="0.2">
      <c r="A363" t="s">
        <v>25</v>
      </c>
      <c r="B363">
        <v>12.43</v>
      </c>
      <c r="C363">
        <v>362</v>
      </c>
      <c r="D363" t="s">
        <v>20</v>
      </c>
      <c r="E363">
        <v>36</v>
      </c>
      <c r="F363" s="6">
        <v>45043</v>
      </c>
      <c r="G363" s="6" t="str">
        <f>_xlfn.XLOOKUP(K:K,Products!B:B,Products!E:E," ")</f>
        <v>Home</v>
      </c>
      <c r="H363" s="6" t="str">
        <f>_xlfn.XLOOKUP(Orders!K:K,Products!B:B,Products!F:F," ")</f>
        <v>Furniture Model 1</v>
      </c>
      <c r="I363" s="6" t="str">
        <f>_xlfn.XLOOKUP(K:K,Products!B:B,Products!C:C," ")</f>
        <v>BrandD</v>
      </c>
      <c r="J363" s="8">
        <f>_xlfn.XLOOKUP(K:K,Products!B:B,Products!D:D," ")</f>
        <v>7.21</v>
      </c>
      <c r="K363">
        <v>9</v>
      </c>
      <c r="L363" t="s">
        <v>18</v>
      </c>
      <c r="M363" t="str">
        <f>_xlfn.XLOOKUP(K:K,Products!B:B,Products!A:A," ")</f>
        <v>Furniture</v>
      </c>
    </row>
    <row r="364" spans="1:13" x14ac:dyDescent="0.2">
      <c r="A364" t="s">
        <v>25</v>
      </c>
      <c r="B364">
        <v>106.83</v>
      </c>
      <c r="C364">
        <v>363</v>
      </c>
      <c r="D364" t="s">
        <v>20</v>
      </c>
      <c r="E364">
        <v>28</v>
      </c>
      <c r="F364" s="6">
        <v>45113</v>
      </c>
      <c r="G364" s="6" t="str">
        <f>_xlfn.XLOOKUP(K:K,Products!B:B,Products!E:E," ")</f>
        <v>Electronics</v>
      </c>
      <c r="H364" s="6" t="str">
        <f>_xlfn.XLOOKUP(Orders!K:K,Products!B:B,Products!F:F," ")</f>
        <v>Tablet Model 2</v>
      </c>
      <c r="I364" s="6" t="str">
        <f>_xlfn.XLOOKUP(K:K,Products!B:B,Products!C:C," ")</f>
        <v>BrandB</v>
      </c>
      <c r="J364" s="8">
        <f>_xlfn.XLOOKUP(K:K,Products!B:B,Products!D:D," ")</f>
        <v>184.01</v>
      </c>
      <c r="K364">
        <v>6</v>
      </c>
      <c r="L364" t="s">
        <v>18</v>
      </c>
      <c r="M364" t="str">
        <f>_xlfn.XLOOKUP(K:K,Products!B:B,Products!A:A," ")</f>
        <v>Tablet</v>
      </c>
    </row>
    <row r="365" spans="1:13" x14ac:dyDescent="0.2">
      <c r="A365" t="s">
        <v>16</v>
      </c>
      <c r="B365">
        <v>11.1</v>
      </c>
      <c r="C365">
        <v>364</v>
      </c>
      <c r="D365" t="s">
        <v>22</v>
      </c>
      <c r="E365">
        <v>43</v>
      </c>
      <c r="F365" s="6">
        <v>45136</v>
      </c>
      <c r="G365" s="6" t="str">
        <f>_xlfn.XLOOKUP(K:K,Products!B:B,Products!E:E," ")</f>
        <v>Electronics</v>
      </c>
      <c r="H365" s="6" t="str">
        <f>_xlfn.XLOOKUP(Orders!K:K,Products!B:B,Products!F:F," ")</f>
        <v>Tablet Model 2</v>
      </c>
      <c r="I365" s="6" t="str">
        <f>_xlfn.XLOOKUP(K:K,Products!B:B,Products!C:C," ")</f>
        <v>BrandB</v>
      </c>
      <c r="J365" s="8">
        <f>_xlfn.XLOOKUP(K:K,Products!B:B,Products!D:D," ")</f>
        <v>184.01</v>
      </c>
      <c r="K365">
        <v>6</v>
      </c>
      <c r="L365" t="s">
        <v>28</v>
      </c>
      <c r="M365" t="str">
        <f>_xlfn.XLOOKUP(K:K,Products!B:B,Products!A:A," ")</f>
        <v>Tablet</v>
      </c>
    </row>
    <row r="366" spans="1:13" x14ac:dyDescent="0.2">
      <c r="A366" t="s">
        <v>25</v>
      </c>
      <c r="B366">
        <v>279.88</v>
      </c>
      <c r="C366">
        <v>365</v>
      </c>
      <c r="D366" t="s">
        <v>20</v>
      </c>
      <c r="E366">
        <v>34</v>
      </c>
      <c r="F366" s="6">
        <v>45270</v>
      </c>
      <c r="G366" s="6" t="str">
        <f>_xlfn.XLOOKUP(K:K,Products!B:B,Products!E:E," ")</f>
        <v>Sports</v>
      </c>
      <c r="H366" s="6" t="str">
        <f>_xlfn.XLOOKUP(Orders!K:K,Products!B:B,Products!F:F," ")</f>
        <v>Outdoor Model 1</v>
      </c>
      <c r="I366" s="6" t="str">
        <f>_xlfn.XLOOKUP(K:K,Products!B:B,Products!C:C," ")</f>
        <v>BrandD</v>
      </c>
      <c r="J366" s="8">
        <f>_xlfn.XLOOKUP(K:K,Products!B:B,Products!D:D," ")</f>
        <v>223.53</v>
      </c>
      <c r="K366">
        <v>15</v>
      </c>
      <c r="L366" t="s">
        <v>27</v>
      </c>
      <c r="M366" t="str">
        <f>_xlfn.XLOOKUP(K:K,Products!B:B,Products!A:A," ")</f>
        <v>Outdoor</v>
      </c>
    </row>
    <row r="367" spans="1:13" x14ac:dyDescent="0.2">
      <c r="A367" t="s">
        <v>21</v>
      </c>
      <c r="B367">
        <v>361.65</v>
      </c>
      <c r="C367">
        <v>366</v>
      </c>
      <c r="D367" t="s">
        <v>20</v>
      </c>
      <c r="E367">
        <v>50</v>
      </c>
      <c r="F367" s="6">
        <v>45032</v>
      </c>
      <c r="G367" s="6" t="str">
        <f>_xlfn.XLOOKUP(K:K,Products!B:B,Products!E:E," ")</f>
        <v>Home</v>
      </c>
      <c r="H367" s="6" t="str">
        <f>_xlfn.XLOOKUP(Orders!K:K,Products!B:B,Products!F:F," ")</f>
        <v>Kitchen Model 1</v>
      </c>
      <c r="I367" s="6" t="str">
        <f>_xlfn.XLOOKUP(K:K,Products!B:B,Products!C:C," ")</f>
        <v>BrandB</v>
      </c>
      <c r="J367" s="8">
        <f>_xlfn.XLOOKUP(K:K,Products!B:B,Products!D:D," ")</f>
        <v>27.76</v>
      </c>
      <c r="K367">
        <v>7</v>
      </c>
      <c r="L367" t="s">
        <v>28</v>
      </c>
      <c r="M367" t="str">
        <f>_xlfn.XLOOKUP(K:K,Products!B:B,Products!A:A," ")</f>
        <v>Kitchen</v>
      </c>
    </row>
    <row r="368" spans="1:13" x14ac:dyDescent="0.2">
      <c r="A368" t="s">
        <v>19</v>
      </c>
      <c r="B368">
        <v>473.5</v>
      </c>
      <c r="C368">
        <v>367</v>
      </c>
      <c r="D368" t="s">
        <v>24</v>
      </c>
      <c r="E368">
        <v>42</v>
      </c>
      <c r="F368" s="6">
        <v>45170</v>
      </c>
      <c r="G368" s="6" t="str">
        <f>_xlfn.XLOOKUP(K:K,Products!B:B,Products!E:E," ")</f>
        <v>Sports</v>
      </c>
      <c r="H368" s="6" t="str">
        <f>_xlfn.XLOOKUP(Orders!K:K,Products!B:B,Products!F:F," ")</f>
        <v>Clothing Model 1</v>
      </c>
      <c r="I368" s="6" t="str">
        <f>_xlfn.XLOOKUP(K:K,Products!B:B,Products!C:C," ")</f>
        <v>BrandD</v>
      </c>
      <c r="J368" s="8">
        <f>_xlfn.XLOOKUP(K:K,Products!B:B,Products!D:D," ")</f>
        <v>111.57</v>
      </c>
      <c r="K368">
        <v>17</v>
      </c>
      <c r="L368" t="s">
        <v>18</v>
      </c>
      <c r="M368" t="str">
        <f>_xlfn.XLOOKUP(K:K,Products!B:B,Products!A:A," ")</f>
        <v>Clothing</v>
      </c>
    </row>
    <row r="369" spans="1:13" x14ac:dyDescent="0.2">
      <c r="A369" t="s">
        <v>21</v>
      </c>
      <c r="B369">
        <v>92.71</v>
      </c>
      <c r="C369">
        <v>368</v>
      </c>
      <c r="D369" t="s">
        <v>24</v>
      </c>
      <c r="E369">
        <v>32</v>
      </c>
      <c r="F369" s="6">
        <v>45145</v>
      </c>
      <c r="G369" s="6" t="str">
        <f>_xlfn.XLOOKUP(K:K,Products!B:B,Products!E:E," ")</f>
        <v>Home</v>
      </c>
      <c r="H369" s="6" t="str">
        <f>_xlfn.XLOOKUP(Orders!K:K,Products!B:B,Products!F:F," ")</f>
        <v>Kitchen Model 2</v>
      </c>
      <c r="I369" s="6" t="str">
        <f>_xlfn.XLOOKUP(K:K,Products!B:B,Products!C:C," ")</f>
        <v>BrandC</v>
      </c>
      <c r="J369" s="8">
        <f>_xlfn.XLOOKUP(K:K,Products!B:B,Products!D:D," ")</f>
        <v>163.13999999999999</v>
      </c>
      <c r="K369">
        <v>8</v>
      </c>
      <c r="L369" t="s">
        <v>28</v>
      </c>
      <c r="M369" t="str">
        <f>_xlfn.XLOOKUP(K:K,Products!B:B,Products!A:A," ")</f>
        <v>Kitchen</v>
      </c>
    </row>
    <row r="370" spans="1:13" x14ac:dyDescent="0.2">
      <c r="A370" t="s">
        <v>21</v>
      </c>
      <c r="B370">
        <v>278.83999999999997</v>
      </c>
      <c r="C370">
        <v>369</v>
      </c>
      <c r="D370" t="s">
        <v>17</v>
      </c>
      <c r="E370">
        <v>32</v>
      </c>
      <c r="F370" s="6">
        <v>45115</v>
      </c>
      <c r="G370" s="6" t="str">
        <f>_xlfn.XLOOKUP(K:K,Products!B:B,Products!E:E," ")</f>
        <v>Office</v>
      </c>
      <c r="H370" s="6" t="str">
        <f>_xlfn.XLOOKUP(Orders!K:K,Products!B:B,Products!F:F," ")</f>
        <v>Office Furniture Model 2</v>
      </c>
      <c r="I370" s="6" t="str">
        <f>_xlfn.XLOOKUP(K:K,Products!B:B,Products!C:C," ")</f>
        <v>BrandA</v>
      </c>
      <c r="J370" s="8">
        <f>_xlfn.XLOOKUP(K:K,Products!B:B,Products!D:D," ")</f>
        <v>59.72</v>
      </c>
      <c r="K370">
        <v>22</v>
      </c>
      <c r="L370" t="s">
        <v>29</v>
      </c>
      <c r="M370" t="str">
        <f>_xlfn.XLOOKUP(K:K,Products!B:B,Products!A:A," ")</f>
        <v>Office Furniture</v>
      </c>
    </row>
    <row r="371" spans="1:13" x14ac:dyDescent="0.2">
      <c r="A371" t="s">
        <v>19</v>
      </c>
      <c r="B371">
        <v>134.62</v>
      </c>
      <c r="C371">
        <v>370</v>
      </c>
      <c r="D371" t="s">
        <v>24</v>
      </c>
      <c r="E371">
        <v>27</v>
      </c>
      <c r="F371" s="6">
        <v>45210</v>
      </c>
      <c r="G371" s="6" t="str">
        <f>_xlfn.XLOOKUP(K:K,Products!B:B,Products!E:E," ")</f>
        <v>Office</v>
      </c>
      <c r="H371" s="6" t="str">
        <f>_xlfn.XLOOKUP(Orders!K:K,Products!B:B,Products!F:F," ")</f>
        <v>Office Furniture Model 1</v>
      </c>
      <c r="I371" s="6" t="str">
        <f>_xlfn.XLOOKUP(K:K,Products!B:B,Products!C:C," ")</f>
        <v>BrandC</v>
      </c>
      <c r="J371" s="8">
        <f>_xlfn.XLOOKUP(K:K,Products!B:B,Products!D:D," ")</f>
        <v>67.66</v>
      </c>
      <c r="K371">
        <v>21</v>
      </c>
      <c r="L371" t="s">
        <v>29</v>
      </c>
      <c r="M371" t="str">
        <f>_xlfn.XLOOKUP(K:K,Products!B:B,Products!A:A," ")</f>
        <v>Office Furniture</v>
      </c>
    </row>
    <row r="372" spans="1:13" x14ac:dyDescent="0.2">
      <c r="A372" t="s">
        <v>21</v>
      </c>
      <c r="B372">
        <v>35.93</v>
      </c>
      <c r="C372">
        <v>371</v>
      </c>
      <c r="D372" t="s">
        <v>22</v>
      </c>
      <c r="E372">
        <v>17</v>
      </c>
      <c r="F372" s="6">
        <v>45092</v>
      </c>
      <c r="G372" s="6" t="str">
        <f>_xlfn.XLOOKUP(K:K,Products!B:B,Products!E:E," ")</f>
        <v>Home</v>
      </c>
      <c r="H372" s="6" t="str">
        <f>_xlfn.XLOOKUP(Orders!K:K,Products!B:B,Products!F:F," ")</f>
        <v>Furniture Model 1</v>
      </c>
      <c r="I372" s="6" t="str">
        <f>_xlfn.XLOOKUP(K:K,Products!B:B,Products!C:C," ")</f>
        <v>BrandD</v>
      </c>
      <c r="J372" s="8">
        <f>_xlfn.XLOOKUP(K:K,Products!B:B,Products!D:D," ")</f>
        <v>7.21</v>
      </c>
      <c r="K372">
        <v>9</v>
      </c>
      <c r="L372" t="s">
        <v>28</v>
      </c>
      <c r="M372" t="str">
        <f>_xlfn.XLOOKUP(K:K,Products!B:B,Products!A:A," ")</f>
        <v>Furniture</v>
      </c>
    </row>
    <row r="373" spans="1:13" x14ac:dyDescent="0.2">
      <c r="A373" t="s">
        <v>25</v>
      </c>
      <c r="B373">
        <v>257.16000000000003</v>
      </c>
      <c r="C373">
        <v>372</v>
      </c>
      <c r="D373" t="s">
        <v>22</v>
      </c>
      <c r="E373">
        <v>25</v>
      </c>
      <c r="F373" s="6">
        <v>45009</v>
      </c>
      <c r="G373" s="6" t="str">
        <f>_xlfn.XLOOKUP(K:K,Products!B:B,Products!E:E," ")</f>
        <v>Home</v>
      </c>
      <c r="H373" s="6" t="str">
        <f>_xlfn.XLOOKUP(Orders!K:K,Products!B:B,Products!F:F," ")</f>
        <v>Furniture Model 2</v>
      </c>
      <c r="I373" s="6" t="str">
        <f>_xlfn.XLOOKUP(K:K,Products!B:B,Products!C:C," ")</f>
        <v>BrandD</v>
      </c>
      <c r="J373" s="8">
        <f>_xlfn.XLOOKUP(K:K,Products!B:B,Products!D:D," ")</f>
        <v>3.75</v>
      </c>
      <c r="K373">
        <v>10</v>
      </c>
      <c r="L373" t="s">
        <v>26</v>
      </c>
      <c r="M373" t="str">
        <f>_xlfn.XLOOKUP(K:K,Products!B:B,Products!A:A," ")</f>
        <v>Furniture</v>
      </c>
    </row>
    <row r="374" spans="1:13" x14ac:dyDescent="0.2">
      <c r="A374" t="s">
        <v>16</v>
      </c>
      <c r="B374">
        <v>138.33000000000001</v>
      </c>
      <c r="C374">
        <v>373</v>
      </c>
      <c r="D374" t="s">
        <v>24</v>
      </c>
      <c r="E374">
        <v>49</v>
      </c>
      <c r="F374" s="6">
        <v>45138</v>
      </c>
      <c r="G374" s="6" t="str">
        <f>_xlfn.XLOOKUP(K:K,Products!B:B,Products!E:E," ")</f>
        <v xml:space="preserve"> </v>
      </c>
      <c r="H374" s="6" t="str">
        <f>_xlfn.XLOOKUP(Orders!K:K,Products!B:B,Products!F:F," ")</f>
        <v xml:space="preserve"> </v>
      </c>
      <c r="I374" s="6" t="str">
        <f>_xlfn.XLOOKUP(K:K,Products!B:B,Products!C:C," ")</f>
        <v xml:space="preserve"> </v>
      </c>
      <c r="J374" s="8" t="str">
        <f>_xlfn.XLOOKUP(K:K,Products!B:B,Products!D:D," ")</f>
        <v xml:space="preserve"> </v>
      </c>
      <c r="K374">
        <v>28</v>
      </c>
      <c r="L374" t="s">
        <v>18</v>
      </c>
      <c r="M374" t="str">
        <f>_xlfn.XLOOKUP(K:K,Products!B:B,Products!A:A," ")</f>
        <v xml:space="preserve"> </v>
      </c>
    </row>
    <row r="375" spans="1:13" x14ac:dyDescent="0.2">
      <c r="A375" t="s">
        <v>19</v>
      </c>
      <c r="B375">
        <v>373.76</v>
      </c>
      <c r="C375">
        <v>374</v>
      </c>
      <c r="D375" t="s">
        <v>22</v>
      </c>
      <c r="E375">
        <v>39</v>
      </c>
      <c r="F375" s="6">
        <v>45105</v>
      </c>
      <c r="G375" s="6" t="str">
        <f>_xlfn.XLOOKUP(K:K,Products!B:B,Products!E:E," ")</f>
        <v>Home</v>
      </c>
      <c r="H375" s="6" t="str">
        <f>_xlfn.XLOOKUP(Orders!K:K,Products!B:B,Products!F:F," ")</f>
        <v>Kitchen Model 1</v>
      </c>
      <c r="I375" s="6" t="str">
        <f>_xlfn.XLOOKUP(K:K,Products!B:B,Products!C:C," ")</f>
        <v>BrandB</v>
      </c>
      <c r="J375" s="8">
        <f>_xlfn.XLOOKUP(K:K,Products!B:B,Products!D:D," ")</f>
        <v>27.76</v>
      </c>
      <c r="K375">
        <v>7</v>
      </c>
      <c r="L375" t="s">
        <v>27</v>
      </c>
      <c r="M375" t="str">
        <f>_xlfn.XLOOKUP(K:K,Products!B:B,Products!A:A," ")</f>
        <v>Kitchen</v>
      </c>
    </row>
    <row r="376" spans="1:13" x14ac:dyDescent="0.2">
      <c r="A376" t="s">
        <v>19</v>
      </c>
      <c r="B376">
        <v>123.08</v>
      </c>
      <c r="C376">
        <v>375</v>
      </c>
      <c r="D376" t="s">
        <v>20</v>
      </c>
      <c r="E376">
        <v>1</v>
      </c>
      <c r="F376" s="6">
        <v>44949</v>
      </c>
      <c r="G376" s="6" t="str">
        <f>_xlfn.XLOOKUP(K:K,Products!B:B,Products!E:E," ")</f>
        <v>Sports</v>
      </c>
      <c r="H376" s="6" t="str">
        <f>_xlfn.XLOOKUP(Orders!K:K,Products!B:B,Products!F:F," ")</f>
        <v>Outdoor Model 1</v>
      </c>
      <c r="I376" s="6" t="str">
        <f>_xlfn.XLOOKUP(K:K,Products!B:B,Products!C:C," ")</f>
        <v>BrandD</v>
      </c>
      <c r="J376" s="8">
        <f>_xlfn.XLOOKUP(K:K,Products!B:B,Products!D:D," ")</f>
        <v>223.53</v>
      </c>
      <c r="K376">
        <v>15</v>
      </c>
      <c r="L376" t="s">
        <v>29</v>
      </c>
      <c r="M376" t="str">
        <f>_xlfn.XLOOKUP(K:K,Products!B:B,Products!A:A," ")</f>
        <v>Outdoor</v>
      </c>
    </row>
    <row r="377" spans="1:13" x14ac:dyDescent="0.2">
      <c r="A377" t="s">
        <v>21</v>
      </c>
      <c r="B377">
        <v>481.43</v>
      </c>
      <c r="C377">
        <v>376</v>
      </c>
      <c r="D377" t="s">
        <v>20</v>
      </c>
      <c r="E377">
        <v>46</v>
      </c>
      <c r="F377" s="6">
        <v>44937</v>
      </c>
      <c r="G377" s="6" t="str">
        <f>_xlfn.XLOOKUP(K:K,Products!B:B,Products!E:E," ")</f>
        <v>Electronics</v>
      </c>
      <c r="H377" s="6" t="str">
        <f>_xlfn.XLOOKUP(Orders!K:K,Products!B:B,Products!F:F," ")</f>
        <v>Tablet Model 2</v>
      </c>
      <c r="I377" s="6" t="str">
        <f>_xlfn.XLOOKUP(K:K,Products!B:B,Products!C:C," ")</f>
        <v>BrandB</v>
      </c>
      <c r="J377" s="8">
        <f>_xlfn.XLOOKUP(K:K,Products!B:B,Products!D:D," ")</f>
        <v>184.01</v>
      </c>
      <c r="K377">
        <v>6</v>
      </c>
      <c r="L377" t="s">
        <v>27</v>
      </c>
      <c r="M377" t="str">
        <f>_xlfn.XLOOKUP(K:K,Products!B:B,Products!A:A," ")</f>
        <v>Tablet</v>
      </c>
    </row>
    <row r="378" spans="1:13" x14ac:dyDescent="0.2">
      <c r="A378" t="s">
        <v>25</v>
      </c>
      <c r="B378">
        <v>498.45</v>
      </c>
      <c r="C378">
        <v>377</v>
      </c>
      <c r="D378" t="s">
        <v>17</v>
      </c>
      <c r="E378">
        <v>50</v>
      </c>
      <c r="F378" s="6">
        <v>44945</v>
      </c>
      <c r="G378" s="6" t="str">
        <f>_xlfn.XLOOKUP(K:K,Products!B:B,Products!E:E," ")</f>
        <v>Sports</v>
      </c>
      <c r="H378" s="6" t="str">
        <f>_xlfn.XLOOKUP(Orders!K:K,Products!B:B,Products!F:F," ")</f>
        <v>Fitness Model 1</v>
      </c>
      <c r="I378" s="6" t="str">
        <f>_xlfn.XLOOKUP(K:K,Products!B:B,Products!C:C," ")</f>
        <v>BrandB</v>
      </c>
      <c r="J378" s="8">
        <f>_xlfn.XLOOKUP(K:K,Products!B:B,Products!D:D," ")</f>
        <v>227.4</v>
      </c>
      <c r="K378">
        <v>13</v>
      </c>
      <c r="L378" t="s">
        <v>26</v>
      </c>
      <c r="M378" t="str">
        <f>_xlfn.XLOOKUP(K:K,Products!B:B,Products!A:A," ")</f>
        <v>Fitness</v>
      </c>
    </row>
    <row r="379" spans="1:13" x14ac:dyDescent="0.2">
      <c r="A379" t="s">
        <v>21</v>
      </c>
      <c r="B379">
        <v>243.96</v>
      </c>
      <c r="C379">
        <v>378</v>
      </c>
      <c r="D379" t="s">
        <v>17</v>
      </c>
      <c r="E379">
        <v>8</v>
      </c>
      <c r="F379" s="6">
        <v>45192</v>
      </c>
      <c r="G379" s="6" t="str">
        <f>_xlfn.XLOOKUP(K:K,Products!B:B,Products!E:E," ")</f>
        <v>Home</v>
      </c>
      <c r="H379" s="6" t="str">
        <f>_xlfn.XLOOKUP(Orders!K:K,Products!B:B,Products!F:F," ")</f>
        <v>Kitchen Model 1</v>
      </c>
      <c r="I379" s="6" t="str">
        <f>_xlfn.XLOOKUP(K:K,Products!B:B,Products!C:C," ")</f>
        <v>BrandB</v>
      </c>
      <c r="J379" s="8">
        <f>_xlfn.XLOOKUP(K:K,Products!B:B,Products!D:D," ")</f>
        <v>27.76</v>
      </c>
      <c r="K379">
        <v>7</v>
      </c>
      <c r="L379" t="s">
        <v>23</v>
      </c>
      <c r="M379" t="str">
        <f>_xlfn.XLOOKUP(K:K,Products!B:B,Products!A:A," ")</f>
        <v>Kitchen</v>
      </c>
    </row>
    <row r="380" spans="1:13" x14ac:dyDescent="0.2">
      <c r="A380" t="s">
        <v>21</v>
      </c>
      <c r="B380">
        <v>384.92</v>
      </c>
      <c r="C380">
        <v>379</v>
      </c>
      <c r="D380" t="s">
        <v>17</v>
      </c>
      <c r="E380">
        <v>50</v>
      </c>
      <c r="F380" s="6">
        <v>44939</v>
      </c>
      <c r="G380" s="6" t="str">
        <f>_xlfn.XLOOKUP(K:K,Products!B:B,Products!E:E," ")</f>
        <v xml:space="preserve"> </v>
      </c>
      <c r="H380" s="6" t="str">
        <f>_xlfn.XLOOKUP(Orders!K:K,Products!B:B,Products!F:F," ")</f>
        <v xml:space="preserve"> </v>
      </c>
      <c r="I380" s="6" t="str">
        <f>_xlfn.XLOOKUP(K:K,Products!B:B,Products!C:C," ")</f>
        <v xml:space="preserve"> </v>
      </c>
      <c r="J380" s="8" t="str">
        <f>_xlfn.XLOOKUP(K:K,Products!B:B,Products!D:D," ")</f>
        <v xml:space="preserve"> </v>
      </c>
      <c r="K380">
        <v>25</v>
      </c>
      <c r="L380" t="s">
        <v>18</v>
      </c>
      <c r="M380" t="str">
        <f>_xlfn.XLOOKUP(K:K,Products!B:B,Products!A:A," ")</f>
        <v xml:space="preserve"> </v>
      </c>
    </row>
    <row r="381" spans="1:13" x14ac:dyDescent="0.2">
      <c r="A381" t="s">
        <v>21</v>
      </c>
      <c r="B381">
        <v>111.46</v>
      </c>
      <c r="C381">
        <v>380</v>
      </c>
      <c r="D381" t="s">
        <v>17</v>
      </c>
      <c r="E381">
        <v>8</v>
      </c>
      <c r="F381" s="6">
        <v>45129</v>
      </c>
      <c r="G381" s="6" t="str">
        <f>_xlfn.XLOOKUP(K:K,Products!B:B,Products!E:E," ")</f>
        <v>Office</v>
      </c>
      <c r="H381" s="6" t="str">
        <f>_xlfn.XLOOKUP(Orders!K:K,Products!B:B,Products!F:F," ")</f>
        <v>Printers Model 1</v>
      </c>
      <c r="I381" s="6" t="str">
        <f>_xlfn.XLOOKUP(K:K,Products!B:B,Products!C:C," ")</f>
        <v>BrandA</v>
      </c>
      <c r="J381" s="8">
        <f>_xlfn.XLOOKUP(K:K,Products!B:B,Products!D:D," ")</f>
        <v>36.47</v>
      </c>
      <c r="K381">
        <v>23</v>
      </c>
      <c r="L381" t="s">
        <v>28</v>
      </c>
      <c r="M381" t="str">
        <f>_xlfn.XLOOKUP(K:K,Products!B:B,Products!A:A," ")</f>
        <v>Printers</v>
      </c>
    </row>
    <row r="382" spans="1:13" x14ac:dyDescent="0.2">
      <c r="A382" t="s">
        <v>19</v>
      </c>
      <c r="B382">
        <v>241.19</v>
      </c>
      <c r="C382">
        <v>381</v>
      </c>
      <c r="D382" t="s">
        <v>17</v>
      </c>
      <c r="E382">
        <v>8</v>
      </c>
      <c r="F382" s="6">
        <v>45170</v>
      </c>
      <c r="G382" s="6" t="str">
        <f>_xlfn.XLOOKUP(K:K,Products!B:B,Products!E:E," ")</f>
        <v xml:space="preserve"> </v>
      </c>
      <c r="H382" s="6" t="str">
        <f>_xlfn.XLOOKUP(Orders!K:K,Products!B:B,Products!F:F," ")</f>
        <v xml:space="preserve"> </v>
      </c>
      <c r="I382" s="6" t="str">
        <f>_xlfn.XLOOKUP(K:K,Products!B:B,Products!C:C," ")</f>
        <v xml:space="preserve"> </v>
      </c>
      <c r="J382" s="8" t="str">
        <f>_xlfn.XLOOKUP(K:K,Products!B:B,Products!D:D," ")</f>
        <v xml:space="preserve"> </v>
      </c>
      <c r="K382">
        <v>25</v>
      </c>
      <c r="L382" t="s">
        <v>23</v>
      </c>
      <c r="M382" t="str">
        <f>_xlfn.XLOOKUP(K:K,Products!B:B,Products!A:A," ")</f>
        <v xml:space="preserve"> </v>
      </c>
    </row>
    <row r="383" spans="1:13" x14ac:dyDescent="0.2">
      <c r="A383" t="s">
        <v>21</v>
      </c>
      <c r="B383">
        <v>419.91</v>
      </c>
      <c r="C383">
        <v>382</v>
      </c>
      <c r="D383" t="s">
        <v>20</v>
      </c>
      <c r="E383">
        <v>22</v>
      </c>
      <c r="F383" s="6">
        <v>45237</v>
      </c>
      <c r="G383" s="6" t="str">
        <f>_xlfn.XLOOKUP(K:K,Products!B:B,Products!E:E," ")</f>
        <v>Office</v>
      </c>
      <c r="H383" s="6" t="str">
        <f>_xlfn.XLOOKUP(Orders!K:K,Products!B:B,Products!F:F," ")</f>
        <v>Stationery Model 1</v>
      </c>
      <c r="I383" s="6" t="str">
        <f>_xlfn.XLOOKUP(K:K,Products!B:B,Products!C:C," ")</f>
        <v>BrandB</v>
      </c>
      <c r="J383" s="8">
        <f>_xlfn.XLOOKUP(K:K,Products!B:B,Products!D:D," ")</f>
        <v>73</v>
      </c>
      <c r="K383">
        <v>19</v>
      </c>
      <c r="L383" t="s">
        <v>29</v>
      </c>
      <c r="M383" t="str">
        <f>_xlfn.XLOOKUP(K:K,Products!B:B,Products!A:A," ")</f>
        <v>Stationery</v>
      </c>
    </row>
    <row r="384" spans="1:13" x14ac:dyDescent="0.2">
      <c r="A384" t="s">
        <v>21</v>
      </c>
      <c r="B384">
        <v>359.62</v>
      </c>
      <c r="C384">
        <v>383</v>
      </c>
      <c r="D384" t="s">
        <v>20</v>
      </c>
      <c r="E384">
        <v>25</v>
      </c>
      <c r="F384" s="6">
        <v>45195</v>
      </c>
      <c r="G384" s="6" t="str">
        <f>_xlfn.XLOOKUP(K:K,Products!B:B,Products!E:E," ")</f>
        <v>Sports</v>
      </c>
      <c r="H384" s="6" t="str">
        <f>_xlfn.XLOOKUP(Orders!K:K,Products!B:B,Products!F:F," ")</f>
        <v>Outdoor Model 2</v>
      </c>
      <c r="I384" s="6" t="str">
        <f>_xlfn.XLOOKUP(K:K,Products!B:B,Products!C:C," ")</f>
        <v>BrandA</v>
      </c>
      <c r="J384" s="8">
        <f>_xlfn.XLOOKUP(K:K,Products!B:B,Products!D:D," ")</f>
        <v>21.27</v>
      </c>
      <c r="K384">
        <v>16</v>
      </c>
      <c r="L384" t="s">
        <v>18</v>
      </c>
      <c r="M384" t="str">
        <f>_xlfn.XLOOKUP(K:K,Products!B:B,Products!A:A," ")</f>
        <v>Outdoor</v>
      </c>
    </row>
    <row r="385" spans="1:13" x14ac:dyDescent="0.2">
      <c r="A385" t="s">
        <v>19</v>
      </c>
      <c r="B385">
        <v>180.94</v>
      </c>
      <c r="C385">
        <v>384</v>
      </c>
      <c r="D385" t="s">
        <v>24</v>
      </c>
      <c r="E385">
        <v>41</v>
      </c>
      <c r="F385" s="6">
        <v>44995</v>
      </c>
      <c r="G385" s="6" t="str">
        <f>_xlfn.XLOOKUP(K:K,Products!B:B,Products!E:E," ")</f>
        <v>Sports</v>
      </c>
      <c r="H385" s="6" t="str">
        <f>_xlfn.XLOOKUP(Orders!K:K,Products!B:B,Products!F:F," ")</f>
        <v>Outdoor Model 1</v>
      </c>
      <c r="I385" s="6" t="str">
        <f>_xlfn.XLOOKUP(K:K,Products!B:B,Products!C:C," ")</f>
        <v>BrandD</v>
      </c>
      <c r="J385" s="8">
        <f>_xlfn.XLOOKUP(K:K,Products!B:B,Products!D:D," ")</f>
        <v>223.53</v>
      </c>
      <c r="K385">
        <v>15</v>
      </c>
      <c r="L385" t="s">
        <v>23</v>
      </c>
      <c r="M385" t="str">
        <f>_xlfn.XLOOKUP(K:K,Products!B:B,Products!A:A," ")</f>
        <v>Outdoor</v>
      </c>
    </row>
    <row r="386" spans="1:13" x14ac:dyDescent="0.2">
      <c r="A386" t="s">
        <v>21</v>
      </c>
      <c r="B386">
        <v>71.59</v>
      </c>
      <c r="C386">
        <v>385</v>
      </c>
      <c r="D386" t="s">
        <v>20</v>
      </c>
      <c r="E386">
        <v>18</v>
      </c>
      <c r="F386" s="6">
        <v>45021</v>
      </c>
      <c r="G386" s="6" t="str">
        <f>_xlfn.XLOOKUP(K:K,Products!B:B,Products!E:E," ")</f>
        <v>Sports</v>
      </c>
      <c r="H386" s="6" t="str">
        <f>_xlfn.XLOOKUP(Orders!K:K,Products!B:B,Products!F:F," ")</f>
        <v>Outdoor Model 2</v>
      </c>
      <c r="I386" s="6" t="str">
        <f>_xlfn.XLOOKUP(K:K,Products!B:B,Products!C:C," ")</f>
        <v>BrandA</v>
      </c>
      <c r="J386" s="8">
        <f>_xlfn.XLOOKUP(K:K,Products!B:B,Products!D:D," ")</f>
        <v>21.27</v>
      </c>
      <c r="K386">
        <v>16</v>
      </c>
      <c r="L386" t="s">
        <v>27</v>
      </c>
      <c r="M386" t="str">
        <f>_xlfn.XLOOKUP(K:K,Products!B:B,Products!A:A," ")</f>
        <v>Outdoor</v>
      </c>
    </row>
    <row r="387" spans="1:13" x14ac:dyDescent="0.2">
      <c r="A387" t="s">
        <v>16</v>
      </c>
      <c r="B387">
        <v>292.92</v>
      </c>
      <c r="C387">
        <v>386</v>
      </c>
      <c r="D387" t="s">
        <v>24</v>
      </c>
      <c r="E387">
        <v>13</v>
      </c>
      <c r="F387" s="6">
        <v>45154</v>
      </c>
      <c r="G387" s="6" t="str">
        <f>_xlfn.XLOOKUP(K:K,Products!B:B,Products!E:E," ")</f>
        <v>Electronics</v>
      </c>
      <c r="H387" s="6" t="str">
        <f>_xlfn.XLOOKUP(Orders!K:K,Products!B:B,Products!F:F," ")</f>
        <v>Laptop Model 1</v>
      </c>
      <c r="I387" s="6" t="str">
        <f>_xlfn.XLOOKUP(K:K,Products!B:B,Products!C:C," ")</f>
        <v>BrandB</v>
      </c>
      <c r="J387" s="8">
        <f>_xlfn.XLOOKUP(K:K,Products!B:B,Products!D:D," ")</f>
        <v>251.46</v>
      </c>
      <c r="K387">
        <v>3</v>
      </c>
      <c r="L387" t="s">
        <v>23</v>
      </c>
      <c r="M387" t="str">
        <f>_xlfn.XLOOKUP(K:K,Products!B:B,Products!A:A," ")</f>
        <v>Laptop</v>
      </c>
    </row>
    <row r="388" spans="1:13" x14ac:dyDescent="0.2">
      <c r="A388" t="s">
        <v>21</v>
      </c>
      <c r="B388">
        <v>262.89999999999998</v>
      </c>
      <c r="C388">
        <v>387</v>
      </c>
      <c r="D388" t="s">
        <v>17</v>
      </c>
      <c r="E388">
        <v>14</v>
      </c>
      <c r="F388" s="6">
        <v>45158</v>
      </c>
      <c r="G388" s="6" t="str">
        <f>_xlfn.XLOOKUP(K:K,Products!B:B,Products!E:E," ")</f>
        <v>Office</v>
      </c>
      <c r="H388" s="6" t="str">
        <f>_xlfn.XLOOKUP(Orders!K:K,Products!B:B,Products!F:F," ")</f>
        <v>Printers Model 1</v>
      </c>
      <c r="I388" s="6" t="str">
        <f>_xlfn.XLOOKUP(K:K,Products!B:B,Products!C:C," ")</f>
        <v>BrandA</v>
      </c>
      <c r="J388" s="8">
        <f>_xlfn.XLOOKUP(K:K,Products!B:B,Products!D:D," ")</f>
        <v>36.47</v>
      </c>
      <c r="K388">
        <v>23</v>
      </c>
      <c r="L388" t="s">
        <v>26</v>
      </c>
      <c r="M388" t="str">
        <f>_xlfn.XLOOKUP(K:K,Products!B:B,Products!A:A," ")</f>
        <v>Printers</v>
      </c>
    </row>
    <row r="389" spans="1:13" x14ac:dyDescent="0.2">
      <c r="A389" t="s">
        <v>25</v>
      </c>
      <c r="B389">
        <v>87.26</v>
      </c>
      <c r="C389">
        <v>388</v>
      </c>
      <c r="D389" t="s">
        <v>20</v>
      </c>
      <c r="E389">
        <v>28</v>
      </c>
      <c r="F389" s="6">
        <v>45036</v>
      </c>
      <c r="G389" s="6" t="str">
        <f>_xlfn.XLOOKUP(K:K,Products!B:B,Products!E:E," ")</f>
        <v>Sports</v>
      </c>
      <c r="H389" s="6" t="str">
        <f>_xlfn.XLOOKUP(Orders!K:K,Products!B:B,Products!F:F," ")</f>
        <v>Outdoor Model 2</v>
      </c>
      <c r="I389" s="6" t="str">
        <f>_xlfn.XLOOKUP(K:K,Products!B:B,Products!C:C," ")</f>
        <v>BrandA</v>
      </c>
      <c r="J389" s="8">
        <f>_xlfn.XLOOKUP(K:K,Products!B:B,Products!D:D," ")</f>
        <v>21.27</v>
      </c>
      <c r="K389">
        <v>16</v>
      </c>
      <c r="L389" t="s">
        <v>29</v>
      </c>
      <c r="M389" t="str">
        <f>_xlfn.XLOOKUP(K:K,Products!B:B,Products!A:A," ")</f>
        <v>Outdoor</v>
      </c>
    </row>
    <row r="390" spans="1:13" x14ac:dyDescent="0.2">
      <c r="A390" t="s">
        <v>21</v>
      </c>
      <c r="B390">
        <v>342.61</v>
      </c>
      <c r="C390">
        <v>389</v>
      </c>
      <c r="D390" t="s">
        <v>17</v>
      </c>
      <c r="E390">
        <v>30</v>
      </c>
      <c r="F390" s="6">
        <v>44932</v>
      </c>
      <c r="G390" s="6" t="str">
        <f>_xlfn.XLOOKUP(K:K,Products!B:B,Products!E:E," ")</f>
        <v>Electronics</v>
      </c>
      <c r="H390" s="6" t="str">
        <f>_xlfn.XLOOKUP(Orders!K:K,Products!B:B,Products!F:F," ")</f>
        <v>Tablet Model 2</v>
      </c>
      <c r="I390" s="6" t="str">
        <f>_xlfn.XLOOKUP(K:K,Products!B:B,Products!C:C," ")</f>
        <v>BrandB</v>
      </c>
      <c r="J390" s="8">
        <f>_xlfn.XLOOKUP(K:K,Products!B:B,Products!D:D," ")</f>
        <v>184.01</v>
      </c>
      <c r="K390">
        <v>6</v>
      </c>
      <c r="L390" t="s">
        <v>26</v>
      </c>
      <c r="M390" t="str">
        <f>_xlfn.XLOOKUP(K:K,Products!B:B,Products!A:A," ")</f>
        <v>Tablet</v>
      </c>
    </row>
    <row r="391" spans="1:13" x14ac:dyDescent="0.2">
      <c r="A391" t="s">
        <v>21</v>
      </c>
      <c r="B391">
        <v>449.24</v>
      </c>
      <c r="C391">
        <v>390</v>
      </c>
      <c r="D391" t="s">
        <v>22</v>
      </c>
      <c r="E391">
        <v>9</v>
      </c>
      <c r="F391" s="6">
        <v>45126</v>
      </c>
      <c r="G391" s="6" t="str">
        <f>_xlfn.XLOOKUP(K:K,Products!B:B,Products!E:E," ")</f>
        <v>Office</v>
      </c>
      <c r="H391" s="6" t="str">
        <f>_xlfn.XLOOKUP(Orders!K:K,Products!B:B,Products!F:F," ")</f>
        <v>Stationery Model 2</v>
      </c>
      <c r="I391" s="6" t="str">
        <f>_xlfn.XLOOKUP(K:K,Products!B:B,Products!C:C," ")</f>
        <v>BrandC</v>
      </c>
      <c r="J391" s="8">
        <f>_xlfn.XLOOKUP(K:K,Products!B:B,Products!D:D," ")</f>
        <v>170.2</v>
      </c>
      <c r="K391">
        <v>20</v>
      </c>
      <c r="L391" t="s">
        <v>28</v>
      </c>
      <c r="M391" t="str">
        <f>_xlfn.XLOOKUP(K:K,Products!B:B,Products!A:A," ")</f>
        <v>Stationery</v>
      </c>
    </row>
    <row r="392" spans="1:13" x14ac:dyDescent="0.2">
      <c r="A392" t="s">
        <v>19</v>
      </c>
      <c r="B392">
        <v>223.29</v>
      </c>
      <c r="C392">
        <v>391</v>
      </c>
      <c r="D392" t="s">
        <v>22</v>
      </c>
      <c r="E392">
        <v>32</v>
      </c>
      <c r="F392" s="6">
        <v>45173</v>
      </c>
      <c r="G392" s="6" t="str">
        <f>_xlfn.XLOOKUP(K:K,Products!B:B,Products!E:E," ")</f>
        <v>Sports</v>
      </c>
      <c r="H392" s="6" t="str">
        <f>_xlfn.XLOOKUP(Orders!K:K,Products!B:B,Products!F:F," ")</f>
        <v>Fitness Model 1</v>
      </c>
      <c r="I392" s="6" t="str">
        <f>_xlfn.XLOOKUP(K:K,Products!B:B,Products!C:C," ")</f>
        <v>BrandB</v>
      </c>
      <c r="J392" s="8">
        <f>_xlfn.XLOOKUP(K:K,Products!B:B,Products!D:D," ")</f>
        <v>227.4</v>
      </c>
      <c r="K392">
        <v>13</v>
      </c>
      <c r="L392" t="s">
        <v>29</v>
      </c>
      <c r="M392" t="str">
        <f>_xlfn.XLOOKUP(K:K,Products!B:B,Products!A:A," ")</f>
        <v>Fitness</v>
      </c>
    </row>
    <row r="393" spans="1:13" x14ac:dyDescent="0.2">
      <c r="A393" t="s">
        <v>21</v>
      </c>
      <c r="B393">
        <v>473.48</v>
      </c>
      <c r="C393">
        <v>392</v>
      </c>
      <c r="D393" t="s">
        <v>22</v>
      </c>
      <c r="E393">
        <v>10</v>
      </c>
      <c r="F393" s="6">
        <v>45165</v>
      </c>
      <c r="G393" s="6" t="str">
        <f>_xlfn.XLOOKUP(K:K,Products!B:B,Products!E:E," ")</f>
        <v xml:space="preserve"> </v>
      </c>
      <c r="H393" s="6" t="str">
        <f>_xlfn.XLOOKUP(Orders!K:K,Products!B:B,Products!F:F," ")</f>
        <v xml:space="preserve"> </v>
      </c>
      <c r="I393" s="6" t="str">
        <f>_xlfn.XLOOKUP(K:K,Products!B:B,Products!C:C," ")</f>
        <v xml:space="preserve"> </v>
      </c>
      <c r="J393" s="8" t="str">
        <f>_xlfn.XLOOKUP(K:K,Products!B:B,Products!D:D," ")</f>
        <v xml:space="preserve"> </v>
      </c>
      <c r="K393">
        <v>27</v>
      </c>
      <c r="L393" t="s">
        <v>28</v>
      </c>
      <c r="M393" t="str">
        <f>_xlfn.XLOOKUP(K:K,Products!B:B,Products!A:A," ")</f>
        <v xml:space="preserve"> </v>
      </c>
    </row>
    <row r="394" spans="1:13" x14ac:dyDescent="0.2">
      <c r="A394" t="s">
        <v>21</v>
      </c>
      <c r="B394">
        <v>261.38</v>
      </c>
      <c r="C394">
        <v>393</v>
      </c>
      <c r="D394" t="s">
        <v>24</v>
      </c>
      <c r="E394">
        <v>45</v>
      </c>
      <c r="F394" s="6">
        <v>45148</v>
      </c>
      <c r="G394" s="6" t="str">
        <f>_xlfn.XLOOKUP(K:K,Products!B:B,Products!E:E," ")</f>
        <v>Home</v>
      </c>
      <c r="H394" s="6" t="str">
        <f>_xlfn.XLOOKUP(Orders!K:K,Products!B:B,Products!F:F," ")</f>
        <v>Furniture Model 2</v>
      </c>
      <c r="I394" s="6" t="str">
        <f>_xlfn.XLOOKUP(K:K,Products!B:B,Products!C:C," ")</f>
        <v>BrandD</v>
      </c>
      <c r="J394" s="8">
        <f>_xlfn.XLOOKUP(K:K,Products!B:B,Products!D:D," ")</f>
        <v>3.75</v>
      </c>
      <c r="K394">
        <v>10</v>
      </c>
      <c r="L394" t="s">
        <v>29</v>
      </c>
      <c r="M394" t="str">
        <f>_xlfn.XLOOKUP(K:K,Products!B:B,Products!A:A," ")</f>
        <v>Furniture</v>
      </c>
    </row>
    <row r="395" spans="1:13" x14ac:dyDescent="0.2">
      <c r="A395" t="s">
        <v>21</v>
      </c>
      <c r="B395">
        <v>330.69</v>
      </c>
      <c r="C395">
        <v>394</v>
      </c>
      <c r="D395" t="s">
        <v>24</v>
      </c>
      <c r="E395">
        <v>23</v>
      </c>
      <c r="F395" s="6">
        <v>45069</v>
      </c>
      <c r="G395" s="6" t="str">
        <f>_xlfn.XLOOKUP(K:K,Products!B:B,Products!E:E," ")</f>
        <v>Sports</v>
      </c>
      <c r="H395" s="6" t="str">
        <f>_xlfn.XLOOKUP(Orders!K:K,Products!B:B,Products!F:F," ")</f>
        <v>Fitness Model 1</v>
      </c>
      <c r="I395" s="6" t="str">
        <f>_xlfn.XLOOKUP(K:K,Products!B:B,Products!C:C," ")</f>
        <v>BrandB</v>
      </c>
      <c r="J395" s="8">
        <f>_xlfn.XLOOKUP(K:K,Products!B:B,Products!D:D," ")</f>
        <v>227.4</v>
      </c>
      <c r="K395">
        <v>13</v>
      </c>
      <c r="L395" t="s">
        <v>28</v>
      </c>
      <c r="M395" t="str">
        <f>_xlfn.XLOOKUP(K:K,Products!B:B,Products!A:A," ")</f>
        <v>Fitness</v>
      </c>
    </row>
    <row r="396" spans="1:13" x14ac:dyDescent="0.2">
      <c r="A396" t="s">
        <v>21</v>
      </c>
      <c r="B396">
        <v>252.05</v>
      </c>
      <c r="C396">
        <v>395</v>
      </c>
      <c r="D396" t="s">
        <v>22</v>
      </c>
      <c r="E396">
        <v>16</v>
      </c>
      <c r="F396" s="6">
        <v>45164</v>
      </c>
      <c r="G396" s="6" t="str">
        <f>_xlfn.XLOOKUP(K:K,Products!B:B,Products!E:E," ")</f>
        <v xml:space="preserve"> </v>
      </c>
      <c r="H396" s="6" t="str">
        <f>_xlfn.XLOOKUP(Orders!K:K,Products!B:B,Products!F:F," ")</f>
        <v xml:space="preserve"> </v>
      </c>
      <c r="I396" s="6" t="str">
        <f>_xlfn.XLOOKUP(K:K,Products!B:B,Products!C:C," ")</f>
        <v xml:space="preserve"> </v>
      </c>
      <c r="J396" s="8" t="str">
        <f>_xlfn.XLOOKUP(K:K,Products!B:B,Products!D:D," ")</f>
        <v xml:space="preserve"> </v>
      </c>
      <c r="K396">
        <v>30</v>
      </c>
      <c r="L396" t="s">
        <v>18</v>
      </c>
      <c r="M396" t="str">
        <f>_xlfn.XLOOKUP(K:K,Products!B:B,Products!A:A," ")</f>
        <v xml:space="preserve"> </v>
      </c>
    </row>
    <row r="397" spans="1:13" x14ac:dyDescent="0.2">
      <c r="A397" t="s">
        <v>21</v>
      </c>
      <c r="B397">
        <v>414.69</v>
      </c>
      <c r="C397">
        <v>396</v>
      </c>
      <c r="D397" t="s">
        <v>24</v>
      </c>
      <c r="E397">
        <v>13</v>
      </c>
      <c r="F397" s="6">
        <v>45203</v>
      </c>
      <c r="G397" s="6" t="str">
        <f>_xlfn.XLOOKUP(K:K,Products!B:B,Products!E:E," ")</f>
        <v>Home</v>
      </c>
      <c r="H397" s="6" t="str">
        <f>_xlfn.XLOOKUP(Orders!K:K,Products!B:B,Products!F:F," ")</f>
        <v>Kitchen Model 1</v>
      </c>
      <c r="I397" s="6" t="str">
        <f>_xlfn.XLOOKUP(K:K,Products!B:B,Products!C:C," ")</f>
        <v>BrandB</v>
      </c>
      <c r="J397" s="8">
        <f>_xlfn.XLOOKUP(K:K,Products!B:B,Products!D:D," ")</f>
        <v>27.76</v>
      </c>
      <c r="K397">
        <v>7</v>
      </c>
      <c r="L397" t="s">
        <v>29</v>
      </c>
      <c r="M397" t="str">
        <f>_xlfn.XLOOKUP(K:K,Products!B:B,Products!A:A," ")</f>
        <v>Kitchen</v>
      </c>
    </row>
    <row r="398" spans="1:13" x14ac:dyDescent="0.2">
      <c r="A398" t="s">
        <v>25</v>
      </c>
      <c r="B398">
        <v>167.8</v>
      </c>
      <c r="C398">
        <v>397</v>
      </c>
      <c r="D398" t="s">
        <v>20</v>
      </c>
      <c r="E398">
        <v>47</v>
      </c>
      <c r="F398" s="6">
        <v>45177</v>
      </c>
      <c r="G398" s="6" t="str">
        <f>_xlfn.XLOOKUP(K:K,Products!B:B,Products!E:E," ")</f>
        <v xml:space="preserve"> </v>
      </c>
      <c r="H398" s="6" t="str">
        <f>_xlfn.XLOOKUP(Orders!K:K,Products!B:B,Products!F:F," ")</f>
        <v xml:space="preserve"> </v>
      </c>
      <c r="I398" s="6" t="str">
        <f>_xlfn.XLOOKUP(K:K,Products!B:B,Products!C:C," ")</f>
        <v xml:space="preserve"> </v>
      </c>
      <c r="J398" s="8" t="str">
        <f>_xlfn.XLOOKUP(K:K,Products!B:B,Products!D:D," ")</f>
        <v xml:space="preserve"> </v>
      </c>
      <c r="K398">
        <v>25</v>
      </c>
      <c r="L398" t="s">
        <v>28</v>
      </c>
      <c r="M398" t="str">
        <f>_xlfn.XLOOKUP(K:K,Products!B:B,Products!A:A," ")</f>
        <v xml:space="preserve"> </v>
      </c>
    </row>
    <row r="399" spans="1:13" x14ac:dyDescent="0.2">
      <c r="A399" t="s">
        <v>16</v>
      </c>
      <c r="B399">
        <v>158.26</v>
      </c>
      <c r="C399">
        <v>398</v>
      </c>
      <c r="D399" t="s">
        <v>20</v>
      </c>
      <c r="E399">
        <v>13</v>
      </c>
      <c r="F399" s="6">
        <v>44989</v>
      </c>
      <c r="G399" s="6" t="str">
        <f>_xlfn.XLOOKUP(K:K,Products!B:B,Products!E:E," ")</f>
        <v xml:space="preserve"> </v>
      </c>
      <c r="H399" s="6" t="str">
        <f>_xlfn.XLOOKUP(Orders!K:K,Products!B:B,Products!F:F," ")</f>
        <v xml:space="preserve"> </v>
      </c>
      <c r="I399" s="6" t="str">
        <f>_xlfn.XLOOKUP(K:K,Products!B:B,Products!C:C," ")</f>
        <v xml:space="preserve"> </v>
      </c>
      <c r="J399" s="8" t="str">
        <f>_xlfn.XLOOKUP(K:K,Products!B:B,Products!D:D," ")</f>
        <v xml:space="preserve"> </v>
      </c>
      <c r="K399">
        <v>26</v>
      </c>
      <c r="L399" t="s">
        <v>18</v>
      </c>
      <c r="M399" t="str">
        <f>_xlfn.XLOOKUP(K:K,Products!B:B,Products!A:A," ")</f>
        <v xml:space="preserve"> </v>
      </c>
    </row>
    <row r="400" spans="1:13" x14ac:dyDescent="0.2">
      <c r="A400" t="s">
        <v>25</v>
      </c>
      <c r="B400">
        <v>333.43</v>
      </c>
      <c r="C400">
        <v>399</v>
      </c>
      <c r="D400" t="s">
        <v>24</v>
      </c>
      <c r="E400">
        <v>26</v>
      </c>
      <c r="F400" s="6">
        <v>44984</v>
      </c>
      <c r="G400" s="6" t="str">
        <f>_xlfn.XLOOKUP(K:K,Products!B:B,Products!E:E," ")</f>
        <v xml:space="preserve"> </v>
      </c>
      <c r="H400" s="6" t="str">
        <f>_xlfn.XLOOKUP(Orders!K:K,Products!B:B,Products!F:F," ")</f>
        <v xml:space="preserve"> </v>
      </c>
      <c r="I400" s="6" t="str">
        <f>_xlfn.XLOOKUP(K:K,Products!B:B,Products!C:C," ")</f>
        <v xml:space="preserve"> </v>
      </c>
      <c r="J400" s="8" t="str">
        <f>_xlfn.XLOOKUP(K:K,Products!B:B,Products!D:D," ")</f>
        <v xml:space="preserve"> </v>
      </c>
      <c r="K400">
        <v>26</v>
      </c>
      <c r="L400" t="s">
        <v>26</v>
      </c>
      <c r="M400" t="str">
        <f>_xlfn.XLOOKUP(K:K,Products!B:B,Products!A:A," ")</f>
        <v xml:space="preserve"> </v>
      </c>
    </row>
    <row r="401" spans="1:13" x14ac:dyDescent="0.2">
      <c r="A401" t="s">
        <v>25</v>
      </c>
      <c r="B401">
        <v>59.92</v>
      </c>
      <c r="C401">
        <v>400</v>
      </c>
      <c r="D401" t="s">
        <v>22</v>
      </c>
      <c r="E401">
        <v>22</v>
      </c>
      <c r="F401" s="6">
        <v>45231</v>
      </c>
      <c r="G401" s="6" t="str">
        <f>_xlfn.XLOOKUP(K:K,Products!B:B,Products!E:E," ")</f>
        <v>Office</v>
      </c>
      <c r="H401" s="6" t="str">
        <f>_xlfn.XLOOKUP(Orders!K:K,Products!B:B,Products!F:F," ")</f>
        <v>Office Furniture Model 2</v>
      </c>
      <c r="I401" s="6" t="str">
        <f>_xlfn.XLOOKUP(K:K,Products!B:B,Products!C:C," ")</f>
        <v>BrandA</v>
      </c>
      <c r="J401" s="8">
        <f>_xlfn.XLOOKUP(K:K,Products!B:B,Products!D:D," ")</f>
        <v>59.72</v>
      </c>
      <c r="K401">
        <v>22</v>
      </c>
      <c r="L401" t="s">
        <v>27</v>
      </c>
      <c r="M401" t="str">
        <f>_xlfn.XLOOKUP(K:K,Products!B:B,Products!A:A," ")</f>
        <v>Office Furniture</v>
      </c>
    </row>
    <row r="402" spans="1:13" x14ac:dyDescent="0.2">
      <c r="A402" t="s">
        <v>19</v>
      </c>
      <c r="B402">
        <v>79.62</v>
      </c>
      <c r="C402">
        <v>401</v>
      </c>
      <c r="D402" t="s">
        <v>17</v>
      </c>
      <c r="E402">
        <v>23</v>
      </c>
      <c r="F402" s="6">
        <v>45224</v>
      </c>
      <c r="G402" s="6" t="str">
        <f>_xlfn.XLOOKUP(K:K,Products!B:B,Products!E:E," ")</f>
        <v>Office</v>
      </c>
      <c r="H402" s="6" t="str">
        <f>_xlfn.XLOOKUP(Orders!K:K,Products!B:B,Products!F:F," ")</f>
        <v>Stationery Model 2</v>
      </c>
      <c r="I402" s="6" t="str">
        <f>_xlfn.XLOOKUP(K:K,Products!B:B,Products!C:C," ")</f>
        <v>BrandC</v>
      </c>
      <c r="J402" s="8">
        <f>_xlfn.XLOOKUP(K:K,Products!B:B,Products!D:D," ")</f>
        <v>170.2</v>
      </c>
      <c r="K402">
        <v>20</v>
      </c>
      <c r="L402" t="s">
        <v>18</v>
      </c>
      <c r="M402" t="str">
        <f>_xlfn.XLOOKUP(K:K,Products!B:B,Products!A:A," ")</f>
        <v>Stationery</v>
      </c>
    </row>
    <row r="403" spans="1:13" x14ac:dyDescent="0.2">
      <c r="A403" t="s">
        <v>16</v>
      </c>
      <c r="B403">
        <v>497.9</v>
      </c>
      <c r="C403">
        <v>402</v>
      </c>
      <c r="D403" t="s">
        <v>24</v>
      </c>
      <c r="E403">
        <v>8</v>
      </c>
      <c r="F403" s="6">
        <v>45156</v>
      </c>
      <c r="G403" s="6" t="str">
        <f>_xlfn.XLOOKUP(K:K,Products!B:B,Products!E:E," ")</f>
        <v>Electronics</v>
      </c>
      <c r="H403" s="6" t="str">
        <f>_xlfn.XLOOKUP(Orders!K:K,Products!B:B,Products!F:F," ")</f>
        <v>Smartphone Model 2</v>
      </c>
      <c r="I403" s="6" t="str">
        <f>_xlfn.XLOOKUP(K:K,Products!B:B,Products!C:C," ")</f>
        <v>BrandB</v>
      </c>
      <c r="J403" s="8">
        <f>_xlfn.XLOOKUP(K:K,Products!B:B,Products!D:D," ")</f>
        <v>43.27</v>
      </c>
      <c r="K403">
        <v>2</v>
      </c>
      <c r="L403" t="s">
        <v>23</v>
      </c>
      <c r="M403" t="str">
        <f>_xlfn.XLOOKUP(K:K,Products!B:B,Products!A:A," ")</f>
        <v>Smartphone</v>
      </c>
    </row>
    <row r="404" spans="1:13" x14ac:dyDescent="0.2">
      <c r="A404" t="s">
        <v>25</v>
      </c>
      <c r="B404">
        <v>83.91</v>
      </c>
      <c r="C404">
        <v>403</v>
      </c>
      <c r="D404" t="s">
        <v>22</v>
      </c>
      <c r="E404">
        <v>44</v>
      </c>
      <c r="F404" s="6">
        <v>45235</v>
      </c>
      <c r="G404" s="6" t="str">
        <f>_xlfn.XLOOKUP(K:K,Products!B:B,Products!E:E," ")</f>
        <v xml:space="preserve"> </v>
      </c>
      <c r="H404" s="6" t="str">
        <f>_xlfn.XLOOKUP(Orders!K:K,Products!B:B,Products!F:F," ")</f>
        <v xml:space="preserve"> </v>
      </c>
      <c r="I404" s="6" t="str">
        <f>_xlfn.XLOOKUP(K:K,Products!B:B,Products!C:C," ")</f>
        <v xml:space="preserve"> </v>
      </c>
      <c r="J404" s="8" t="str">
        <f>_xlfn.XLOOKUP(K:K,Products!B:B,Products!D:D," ")</f>
        <v xml:space="preserve"> </v>
      </c>
      <c r="K404">
        <v>27</v>
      </c>
      <c r="L404" t="s">
        <v>18</v>
      </c>
      <c r="M404" t="str">
        <f>_xlfn.XLOOKUP(K:K,Products!B:B,Products!A:A," ")</f>
        <v xml:space="preserve"> </v>
      </c>
    </row>
    <row r="405" spans="1:13" x14ac:dyDescent="0.2">
      <c r="A405" t="s">
        <v>16</v>
      </c>
      <c r="B405">
        <v>483.16</v>
      </c>
      <c r="C405">
        <v>404</v>
      </c>
      <c r="D405" t="s">
        <v>17</v>
      </c>
      <c r="E405">
        <v>31</v>
      </c>
      <c r="F405" s="6">
        <v>45080</v>
      </c>
      <c r="G405" s="6" t="str">
        <f>_xlfn.XLOOKUP(K:K,Products!B:B,Products!E:E," ")</f>
        <v>Sports</v>
      </c>
      <c r="H405" s="6" t="str">
        <f>_xlfn.XLOOKUP(Orders!K:K,Products!B:B,Products!F:F," ")</f>
        <v>Outdoor Model 2</v>
      </c>
      <c r="I405" s="6" t="str">
        <f>_xlfn.XLOOKUP(K:K,Products!B:B,Products!C:C," ")</f>
        <v>BrandA</v>
      </c>
      <c r="J405" s="8">
        <f>_xlfn.XLOOKUP(K:K,Products!B:B,Products!D:D," ")</f>
        <v>21.27</v>
      </c>
      <c r="K405">
        <v>16</v>
      </c>
      <c r="L405" t="s">
        <v>27</v>
      </c>
      <c r="M405" t="str">
        <f>_xlfn.XLOOKUP(K:K,Products!B:B,Products!A:A," ")</f>
        <v>Outdoor</v>
      </c>
    </row>
    <row r="406" spans="1:13" x14ac:dyDescent="0.2">
      <c r="A406" t="s">
        <v>19</v>
      </c>
      <c r="B406">
        <v>113.11</v>
      </c>
      <c r="C406">
        <v>405</v>
      </c>
      <c r="D406" t="s">
        <v>20</v>
      </c>
      <c r="E406">
        <v>11</v>
      </c>
      <c r="F406" s="6">
        <v>44990</v>
      </c>
      <c r="G406" s="6" t="str">
        <f>_xlfn.XLOOKUP(K:K,Products!B:B,Products!E:E," ")</f>
        <v>Electronics</v>
      </c>
      <c r="H406" s="6" t="str">
        <f>_xlfn.XLOOKUP(Orders!K:K,Products!B:B,Products!F:F," ")</f>
        <v>Smartphone Model 2</v>
      </c>
      <c r="I406" s="6" t="str">
        <f>_xlfn.XLOOKUP(K:K,Products!B:B,Products!C:C," ")</f>
        <v>BrandB</v>
      </c>
      <c r="J406" s="8">
        <f>_xlfn.XLOOKUP(K:K,Products!B:B,Products!D:D," ")</f>
        <v>43.27</v>
      </c>
      <c r="K406">
        <v>2</v>
      </c>
      <c r="L406" t="s">
        <v>28</v>
      </c>
      <c r="M406" t="str">
        <f>_xlfn.XLOOKUP(K:K,Products!B:B,Products!A:A," ")</f>
        <v>Smartphone</v>
      </c>
    </row>
    <row r="407" spans="1:13" x14ac:dyDescent="0.2">
      <c r="A407" t="s">
        <v>25</v>
      </c>
      <c r="B407">
        <v>121.34</v>
      </c>
      <c r="C407">
        <v>406</v>
      </c>
      <c r="D407" t="s">
        <v>20</v>
      </c>
      <c r="E407">
        <v>16</v>
      </c>
      <c r="F407" s="6">
        <v>45172</v>
      </c>
      <c r="G407" s="6" t="str">
        <f>_xlfn.XLOOKUP(K:K,Products!B:B,Products!E:E," ")</f>
        <v>Office</v>
      </c>
      <c r="H407" s="6" t="str">
        <f>_xlfn.XLOOKUP(Orders!K:K,Products!B:B,Products!F:F," ")</f>
        <v>Office Furniture Model 1</v>
      </c>
      <c r="I407" s="6" t="str">
        <f>_xlfn.XLOOKUP(K:K,Products!B:B,Products!C:C," ")</f>
        <v>BrandC</v>
      </c>
      <c r="J407" s="8">
        <f>_xlfn.XLOOKUP(K:K,Products!B:B,Products!D:D," ")</f>
        <v>67.66</v>
      </c>
      <c r="K407">
        <v>21</v>
      </c>
      <c r="L407" t="s">
        <v>23</v>
      </c>
      <c r="M407" t="str">
        <f>_xlfn.XLOOKUP(K:K,Products!B:B,Products!A:A," ")</f>
        <v>Office Furniture</v>
      </c>
    </row>
    <row r="408" spans="1:13" x14ac:dyDescent="0.2">
      <c r="A408" t="s">
        <v>16</v>
      </c>
      <c r="B408">
        <v>116.68</v>
      </c>
      <c r="C408">
        <v>407</v>
      </c>
      <c r="D408" t="s">
        <v>17</v>
      </c>
      <c r="E408">
        <v>17</v>
      </c>
      <c r="F408" s="6">
        <v>45038</v>
      </c>
      <c r="G408" s="6" t="str">
        <f>_xlfn.XLOOKUP(K:K,Products!B:B,Products!E:E," ")</f>
        <v>Electronics</v>
      </c>
      <c r="H408" s="6" t="str">
        <f>_xlfn.XLOOKUP(Orders!K:K,Products!B:B,Products!F:F," ")</f>
        <v>Tablet Model 1</v>
      </c>
      <c r="I408" s="6" t="str">
        <f>_xlfn.XLOOKUP(K:K,Products!B:B,Products!C:C," ")</f>
        <v>BrandD</v>
      </c>
      <c r="J408" s="8">
        <f>_xlfn.XLOOKUP(K:K,Products!B:B,Products!D:D," ")</f>
        <v>55.43</v>
      </c>
      <c r="K408">
        <v>5</v>
      </c>
      <c r="L408" t="s">
        <v>27</v>
      </c>
      <c r="M408" t="str">
        <f>_xlfn.XLOOKUP(K:K,Products!B:B,Products!A:A," ")</f>
        <v>Tablet</v>
      </c>
    </row>
    <row r="409" spans="1:13" x14ac:dyDescent="0.2">
      <c r="A409" t="s">
        <v>25</v>
      </c>
      <c r="B409">
        <v>119.92</v>
      </c>
      <c r="C409">
        <v>408</v>
      </c>
      <c r="D409" t="s">
        <v>24</v>
      </c>
      <c r="E409">
        <v>48</v>
      </c>
      <c r="F409" s="6">
        <v>45158</v>
      </c>
      <c r="G409" s="6" t="str">
        <f>_xlfn.XLOOKUP(K:K,Products!B:B,Products!E:E," ")</f>
        <v xml:space="preserve"> </v>
      </c>
      <c r="H409" s="6" t="str">
        <f>_xlfn.XLOOKUP(Orders!K:K,Products!B:B,Products!F:F," ")</f>
        <v xml:space="preserve"> </v>
      </c>
      <c r="I409" s="6" t="str">
        <f>_xlfn.XLOOKUP(K:K,Products!B:B,Products!C:C," ")</f>
        <v xml:space="preserve"> </v>
      </c>
      <c r="J409" s="8" t="str">
        <f>_xlfn.XLOOKUP(K:K,Products!B:B,Products!D:D," ")</f>
        <v xml:space="preserve"> </v>
      </c>
      <c r="K409">
        <v>27</v>
      </c>
      <c r="L409" t="s">
        <v>29</v>
      </c>
      <c r="M409" t="str">
        <f>_xlfn.XLOOKUP(K:K,Products!B:B,Products!A:A," ")</f>
        <v xml:space="preserve"> </v>
      </c>
    </row>
    <row r="410" spans="1:13" x14ac:dyDescent="0.2">
      <c r="A410" t="s">
        <v>16</v>
      </c>
      <c r="B410">
        <v>282.64</v>
      </c>
      <c r="C410">
        <v>409</v>
      </c>
      <c r="D410" t="s">
        <v>20</v>
      </c>
      <c r="E410">
        <v>12</v>
      </c>
      <c r="F410" s="6">
        <v>45271</v>
      </c>
      <c r="G410" s="6" t="str">
        <f>_xlfn.XLOOKUP(K:K,Products!B:B,Products!E:E," ")</f>
        <v>Home</v>
      </c>
      <c r="H410" s="6" t="str">
        <f>_xlfn.XLOOKUP(Orders!K:K,Products!B:B,Products!F:F," ")</f>
        <v>Cleaning Model 2</v>
      </c>
      <c r="I410" s="6" t="str">
        <f>_xlfn.XLOOKUP(K:K,Products!B:B,Products!C:C," ")</f>
        <v>BrandB</v>
      </c>
      <c r="J410" s="8">
        <f>_xlfn.XLOOKUP(K:K,Products!B:B,Products!D:D," ")</f>
        <v>209.52</v>
      </c>
      <c r="K410">
        <v>12</v>
      </c>
      <c r="L410" t="s">
        <v>18</v>
      </c>
      <c r="M410" t="str">
        <f>_xlfn.XLOOKUP(K:K,Products!B:B,Products!A:A," ")</f>
        <v>Cleaning</v>
      </c>
    </row>
    <row r="411" spans="1:13" x14ac:dyDescent="0.2">
      <c r="A411" t="s">
        <v>16</v>
      </c>
      <c r="B411">
        <v>24.11</v>
      </c>
      <c r="C411">
        <v>410</v>
      </c>
      <c r="D411" t="s">
        <v>22</v>
      </c>
      <c r="E411">
        <v>17</v>
      </c>
      <c r="F411" s="6">
        <v>45000</v>
      </c>
      <c r="G411" s="6" t="str">
        <f>_xlfn.XLOOKUP(K:K,Products!B:B,Products!E:E," ")</f>
        <v xml:space="preserve"> </v>
      </c>
      <c r="H411" s="6" t="str">
        <f>_xlfn.XLOOKUP(Orders!K:K,Products!B:B,Products!F:F," ")</f>
        <v xml:space="preserve"> </v>
      </c>
      <c r="I411" s="6" t="str">
        <f>_xlfn.XLOOKUP(K:K,Products!B:B,Products!C:C," ")</f>
        <v xml:space="preserve"> </v>
      </c>
      <c r="J411" s="8" t="str">
        <f>_xlfn.XLOOKUP(K:K,Products!B:B,Products!D:D," ")</f>
        <v xml:space="preserve"> </v>
      </c>
      <c r="K411">
        <v>28</v>
      </c>
      <c r="L411" t="s">
        <v>27</v>
      </c>
      <c r="M411" t="str">
        <f>_xlfn.XLOOKUP(K:K,Products!B:B,Products!A:A," ")</f>
        <v xml:space="preserve"> </v>
      </c>
    </row>
    <row r="412" spans="1:13" x14ac:dyDescent="0.2">
      <c r="A412" t="s">
        <v>21</v>
      </c>
      <c r="B412">
        <v>28.32</v>
      </c>
      <c r="C412">
        <v>411</v>
      </c>
      <c r="D412" t="s">
        <v>22</v>
      </c>
      <c r="E412">
        <v>40</v>
      </c>
      <c r="F412" s="6">
        <v>45101</v>
      </c>
      <c r="G412" s="6" t="str">
        <f>_xlfn.XLOOKUP(K:K,Products!B:B,Products!E:E," ")</f>
        <v>Sports</v>
      </c>
      <c r="H412" s="6" t="str">
        <f>_xlfn.XLOOKUP(Orders!K:K,Products!B:B,Products!F:F," ")</f>
        <v>Outdoor Model 1</v>
      </c>
      <c r="I412" s="6" t="str">
        <f>_xlfn.XLOOKUP(K:K,Products!B:B,Products!C:C," ")</f>
        <v>BrandD</v>
      </c>
      <c r="J412" s="8">
        <f>_xlfn.XLOOKUP(K:K,Products!B:B,Products!D:D," ")</f>
        <v>223.53</v>
      </c>
      <c r="K412">
        <v>15</v>
      </c>
      <c r="L412" t="s">
        <v>23</v>
      </c>
      <c r="M412" t="str">
        <f>_xlfn.XLOOKUP(K:K,Products!B:B,Products!A:A," ")</f>
        <v>Outdoor</v>
      </c>
    </row>
    <row r="413" spans="1:13" x14ac:dyDescent="0.2">
      <c r="A413" t="s">
        <v>16</v>
      </c>
      <c r="B413">
        <v>121.97</v>
      </c>
      <c r="C413">
        <v>412</v>
      </c>
      <c r="D413" t="s">
        <v>24</v>
      </c>
      <c r="E413">
        <v>49</v>
      </c>
      <c r="F413" s="6">
        <v>45105</v>
      </c>
      <c r="G413" s="6" t="str">
        <f>_xlfn.XLOOKUP(K:K,Products!B:B,Products!E:E," ")</f>
        <v>Home</v>
      </c>
      <c r="H413" s="6" t="str">
        <f>_xlfn.XLOOKUP(Orders!K:K,Products!B:B,Products!F:F," ")</f>
        <v>Kitchen Model 2</v>
      </c>
      <c r="I413" s="6" t="str">
        <f>_xlfn.XLOOKUP(K:K,Products!B:B,Products!C:C," ")</f>
        <v>BrandC</v>
      </c>
      <c r="J413" s="8">
        <f>_xlfn.XLOOKUP(K:K,Products!B:B,Products!D:D," ")</f>
        <v>163.13999999999999</v>
      </c>
      <c r="K413">
        <v>8</v>
      </c>
      <c r="L413" t="s">
        <v>26</v>
      </c>
      <c r="M413" t="str">
        <f>_xlfn.XLOOKUP(K:K,Products!B:B,Products!A:A," ")</f>
        <v>Kitchen</v>
      </c>
    </row>
    <row r="414" spans="1:13" x14ac:dyDescent="0.2">
      <c r="A414" t="s">
        <v>16</v>
      </c>
      <c r="B414">
        <v>20.18</v>
      </c>
      <c r="C414">
        <v>413</v>
      </c>
      <c r="D414" t="s">
        <v>20</v>
      </c>
      <c r="E414">
        <v>7</v>
      </c>
      <c r="F414" s="6">
        <v>45004</v>
      </c>
      <c r="G414" s="6" t="str">
        <f>_xlfn.XLOOKUP(K:K,Products!B:B,Products!E:E," ")</f>
        <v xml:space="preserve"> </v>
      </c>
      <c r="H414" s="6" t="str">
        <f>_xlfn.XLOOKUP(Orders!K:K,Products!B:B,Products!F:F," ")</f>
        <v xml:space="preserve"> </v>
      </c>
      <c r="I414" s="6" t="str">
        <f>_xlfn.XLOOKUP(K:K,Products!B:B,Products!C:C," ")</f>
        <v xml:space="preserve"> </v>
      </c>
      <c r="J414" s="8" t="str">
        <f>_xlfn.XLOOKUP(K:K,Products!B:B,Products!D:D," ")</f>
        <v xml:space="preserve"> </v>
      </c>
      <c r="K414">
        <v>30</v>
      </c>
      <c r="L414" t="s">
        <v>23</v>
      </c>
      <c r="M414" t="str">
        <f>_xlfn.XLOOKUP(K:K,Products!B:B,Products!A:A," ")</f>
        <v xml:space="preserve"> </v>
      </c>
    </row>
    <row r="415" spans="1:13" x14ac:dyDescent="0.2">
      <c r="A415" t="s">
        <v>19</v>
      </c>
      <c r="B415">
        <v>352.78</v>
      </c>
      <c r="C415">
        <v>414</v>
      </c>
      <c r="D415" t="s">
        <v>24</v>
      </c>
      <c r="E415">
        <v>40</v>
      </c>
      <c r="F415" s="6">
        <v>45102</v>
      </c>
      <c r="G415" s="6" t="str">
        <f>_xlfn.XLOOKUP(K:K,Products!B:B,Products!E:E," ")</f>
        <v>Home</v>
      </c>
      <c r="H415" s="6" t="str">
        <f>_xlfn.XLOOKUP(Orders!K:K,Products!B:B,Products!F:F," ")</f>
        <v>Cleaning Model 2</v>
      </c>
      <c r="I415" s="6" t="str">
        <f>_xlfn.XLOOKUP(K:K,Products!B:B,Products!C:C," ")</f>
        <v>BrandB</v>
      </c>
      <c r="J415" s="8">
        <f>_xlfn.XLOOKUP(K:K,Products!B:B,Products!D:D," ")</f>
        <v>209.52</v>
      </c>
      <c r="K415">
        <v>12</v>
      </c>
      <c r="L415" t="s">
        <v>18</v>
      </c>
      <c r="M415" t="str">
        <f>_xlfn.XLOOKUP(K:K,Products!B:B,Products!A:A," ")</f>
        <v>Cleaning</v>
      </c>
    </row>
    <row r="416" spans="1:13" x14ac:dyDescent="0.2">
      <c r="A416" t="s">
        <v>16</v>
      </c>
      <c r="B416">
        <v>107.42</v>
      </c>
      <c r="C416">
        <v>415</v>
      </c>
      <c r="D416" t="s">
        <v>17</v>
      </c>
      <c r="E416">
        <v>22</v>
      </c>
      <c r="F416" s="6">
        <v>44967</v>
      </c>
      <c r="G416" s="6" t="str">
        <f>_xlfn.XLOOKUP(K:K,Products!B:B,Products!E:E," ")</f>
        <v>Home</v>
      </c>
      <c r="H416" s="6" t="str">
        <f>_xlfn.XLOOKUP(Orders!K:K,Products!B:B,Products!F:F," ")</f>
        <v>Cleaning Model 2</v>
      </c>
      <c r="I416" s="6" t="str">
        <f>_xlfn.XLOOKUP(K:K,Products!B:B,Products!C:C," ")</f>
        <v>BrandB</v>
      </c>
      <c r="J416" s="8">
        <f>_xlfn.XLOOKUP(K:K,Products!B:B,Products!D:D," ")</f>
        <v>209.52</v>
      </c>
      <c r="K416">
        <v>12</v>
      </c>
      <c r="L416" t="s">
        <v>28</v>
      </c>
      <c r="M416" t="str">
        <f>_xlfn.XLOOKUP(K:K,Products!B:B,Products!A:A," ")</f>
        <v>Cleaning</v>
      </c>
    </row>
    <row r="417" spans="1:13" x14ac:dyDescent="0.2">
      <c r="A417" t="s">
        <v>16</v>
      </c>
      <c r="B417">
        <v>406.71</v>
      </c>
      <c r="C417">
        <v>416</v>
      </c>
      <c r="D417" t="s">
        <v>24</v>
      </c>
      <c r="E417">
        <v>6</v>
      </c>
      <c r="F417" s="6">
        <v>45031</v>
      </c>
      <c r="G417" s="6" t="str">
        <f>_xlfn.XLOOKUP(K:K,Products!B:B,Products!E:E," ")</f>
        <v>Sports</v>
      </c>
      <c r="H417" s="6" t="str">
        <f>_xlfn.XLOOKUP(Orders!K:K,Products!B:B,Products!F:F," ")</f>
        <v>Clothing Model 2</v>
      </c>
      <c r="I417" s="6" t="str">
        <f>_xlfn.XLOOKUP(K:K,Products!B:B,Products!C:C," ")</f>
        <v>BrandB</v>
      </c>
      <c r="J417" s="8">
        <f>_xlfn.XLOOKUP(K:K,Products!B:B,Products!D:D," ")</f>
        <v>247.45</v>
      </c>
      <c r="K417">
        <v>18</v>
      </c>
      <c r="L417" t="s">
        <v>18</v>
      </c>
      <c r="M417" t="str">
        <f>_xlfn.XLOOKUP(K:K,Products!B:B,Products!A:A," ")</f>
        <v>Clothing</v>
      </c>
    </row>
    <row r="418" spans="1:13" x14ac:dyDescent="0.2">
      <c r="A418" t="s">
        <v>21</v>
      </c>
      <c r="B418">
        <v>304.64</v>
      </c>
      <c r="C418">
        <v>417</v>
      </c>
      <c r="D418" t="s">
        <v>22</v>
      </c>
      <c r="E418">
        <v>23</v>
      </c>
      <c r="F418" s="6">
        <v>45095</v>
      </c>
      <c r="G418" s="6" t="str">
        <f>_xlfn.XLOOKUP(K:K,Products!B:B,Products!E:E," ")</f>
        <v>Home</v>
      </c>
      <c r="H418" s="6" t="str">
        <f>_xlfn.XLOOKUP(Orders!K:K,Products!B:B,Products!F:F," ")</f>
        <v>Furniture Model 1</v>
      </c>
      <c r="I418" s="6" t="str">
        <f>_xlfn.XLOOKUP(K:K,Products!B:B,Products!C:C," ")</f>
        <v>BrandD</v>
      </c>
      <c r="J418" s="8">
        <f>_xlfn.XLOOKUP(K:K,Products!B:B,Products!D:D," ")</f>
        <v>7.21</v>
      </c>
      <c r="K418">
        <v>9</v>
      </c>
      <c r="L418" t="s">
        <v>23</v>
      </c>
      <c r="M418" t="str">
        <f>_xlfn.XLOOKUP(K:K,Products!B:B,Products!A:A," ")</f>
        <v>Furniture</v>
      </c>
    </row>
    <row r="419" spans="1:13" x14ac:dyDescent="0.2">
      <c r="A419" t="s">
        <v>16</v>
      </c>
      <c r="B419">
        <v>432.82</v>
      </c>
      <c r="C419">
        <v>418</v>
      </c>
      <c r="D419" t="s">
        <v>17</v>
      </c>
      <c r="E419">
        <v>14</v>
      </c>
      <c r="F419" s="6">
        <v>45002</v>
      </c>
      <c r="G419" s="6" t="str">
        <f>_xlfn.XLOOKUP(K:K,Products!B:B,Products!E:E," ")</f>
        <v>Office</v>
      </c>
      <c r="H419" s="6" t="str">
        <f>_xlfn.XLOOKUP(Orders!K:K,Products!B:B,Products!F:F," ")</f>
        <v>Printers Model 1</v>
      </c>
      <c r="I419" s="6" t="str">
        <f>_xlfn.XLOOKUP(K:K,Products!B:B,Products!C:C," ")</f>
        <v>BrandA</v>
      </c>
      <c r="J419" s="8">
        <f>_xlfn.XLOOKUP(K:K,Products!B:B,Products!D:D," ")</f>
        <v>36.47</v>
      </c>
      <c r="K419">
        <v>23</v>
      </c>
      <c r="L419" t="s">
        <v>26</v>
      </c>
      <c r="M419" t="str">
        <f>_xlfn.XLOOKUP(K:K,Products!B:B,Products!A:A," ")</f>
        <v>Printers</v>
      </c>
    </row>
    <row r="420" spans="1:13" x14ac:dyDescent="0.2">
      <c r="A420" t="s">
        <v>21</v>
      </c>
      <c r="B420">
        <v>490.08</v>
      </c>
      <c r="C420">
        <v>419</v>
      </c>
      <c r="D420" t="s">
        <v>20</v>
      </c>
      <c r="E420">
        <v>41</v>
      </c>
      <c r="F420" s="6">
        <v>45032</v>
      </c>
      <c r="G420" s="6" t="str">
        <f>_xlfn.XLOOKUP(K:K,Products!B:B,Products!E:E," ")</f>
        <v xml:space="preserve"> </v>
      </c>
      <c r="H420" s="6" t="str">
        <f>_xlfn.XLOOKUP(Orders!K:K,Products!B:B,Products!F:F," ")</f>
        <v xml:space="preserve"> </v>
      </c>
      <c r="I420" s="6" t="str">
        <f>_xlfn.XLOOKUP(K:K,Products!B:B,Products!C:C," ")</f>
        <v xml:space="preserve"> </v>
      </c>
      <c r="J420" s="8" t="str">
        <f>_xlfn.XLOOKUP(K:K,Products!B:B,Products!D:D," ")</f>
        <v xml:space="preserve"> </v>
      </c>
      <c r="K420">
        <v>26</v>
      </c>
      <c r="L420" t="s">
        <v>23</v>
      </c>
      <c r="M420" t="str">
        <f>_xlfn.XLOOKUP(K:K,Products!B:B,Products!A:A," ")</f>
        <v xml:space="preserve"> </v>
      </c>
    </row>
    <row r="421" spans="1:13" x14ac:dyDescent="0.2">
      <c r="A421" t="s">
        <v>21</v>
      </c>
      <c r="B421">
        <v>447.99</v>
      </c>
      <c r="C421">
        <v>420</v>
      </c>
      <c r="D421" t="s">
        <v>20</v>
      </c>
      <c r="E421">
        <v>47</v>
      </c>
      <c r="F421" s="6">
        <v>45265</v>
      </c>
      <c r="G421" s="6" t="str">
        <f>_xlfn.XLOOKUP(K:K,Products!B:B,Products!E:E," ")</f>
        <v>Office</v>
      </c>
      <c r="H421" s="6" t="str">
        <f>_xlfn.XLOOKUP(Orders!K:K,Products!B:B,Products!F:F," ")</f>
        <v>Stationery Model 1</v>
      </c>
      <c r="I421" s="6" t="str">
        <f>_xlfn.XLOOKUP(K:K,Products!B:B,Products!C:C," ")</f>
        <v>BrandB</v>
      </c>
      <c r="J421" s="8">
        <f>_xlfn.XLOOKUP(K:K,Products!B:B,Products!D:D," ")</f>
        <v>73</v>
      </c>
      <c r="K421">
        <v>19</v>
      </c>
      <c r="L421" t="s">
        <v>23</v>
      </c>
      <c r="M421" t="str">
        <f>_xlfn.XLOOKUP(K:K,Products!B:B,Products!A:A," ")</f>
        <v>Stationery</v>
      </c>
    </row>
  </sheetData>
  <autoFilter ref="A1:L421" xr:uid="{00000000-0009-0000-0000-000001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5"/>
  <sheetViews>
    <sheetView workbookViewId="0">
      <pane ySplit="1" topLeftCell="A3" activePane="bottomLeft" state="frozen"/>
      <selection pane="bottomLeft" activeCell="D9" sqref="D9"/>
    </sheetView>
  </sheetViews>
  <sheetFormatPr baseColWidth="10" defaultColWidth="8.83203125" defaultRowHeight="15" x14ac:dyDescent="0.2"/>
  <cols>
    <col min="1" max="5" width="14" customWidth="1"/>
    <col min="6" max="6" width="15" customWidth="1"/>
  </cols>
  <sheetData>
    <row r="1" spans="1:6" s="4" customFormat="1" ht="28" customHeight="1" x14ac:dyDescent="0.2">
      <c r="A1" s="3" t="s">
        <v>30</v>
      </c>
      <c r="B1" s="3" t="s">
        <v>14</v>
      </c>
      <c r="C1" s="3" t="s">
        <v>31</v>
      </c>
      <c r="D1" s="3" t="s">
        <v>32</v>
      </c>
      <c r="E1" s="3" t="s">
        <v>33</v>
      </c>
      <c r="F1" s="3" t="s">
        <v>34</v>
      </c>
    </row>
    <row r="2" spans="1:6" x14ac:dyDescent="0.2">
      <c r="A2" t="s">
        <v>35</v>
      </c>
      <c r="B2">
        <v>1</v>
      </c>
      <c r="C2" t="s">
        <v>36</v>
      </c>
      <c r="D2">
        <v>285.64999999999998</v>
      </c>
      <c r="E2" t="s">
        <v>37</v>
      </c>
      <c r="F2" t="s">
        <v>38</v>
      </c>
    </row>
    <row r="3" spans="1:6" x14ac:dyDescent="0.2">
      <c r="A3" t="s">
        <v>35</v>
      </c>
      <c r="B3">
        <v>2</v>
      </c>
      <c r="C3" t="s">
        <v>39</v>
      </c>
      <c r="D3">
        <v>43.27</v>
      </c>
      <c r="E3" t="s">
        <v>37</v>
      </c>
      <c r="F3" t="s">
        <v>40</v>
      </c>
    </row>
    <row r="4" spans="1:6" x14ac:dyDescent="0.2">
      <c r="A4" t="s">
        <v>41</v>
      </c>
      <c r="B4">
        <v>3</v>
      </c>
      <c r="C4" t="s">
        <v>39</v>
      </c>
      <c r="D4">
        <v>251.46</v>
      </c>
      <c r="E4" t="s">
        <v>37</v>
      </c>
      <c r="F4" t="s">
        <v>42</v>
      </c>
    </row>
    <row r="5" spans="1:6" x14ac:dyDescent="0.2">
      <c r="A5" t="s">
        <v>41</v>
      </c>
      <c r="B5">
        <v>4</v>
      </c>
      <c r="C5" t="s">
        <v>39</v>
      </c>
      <c r="D5">
        <v>65.05</v>
      </c>
      <c r="E5" t="s">
        <v>37</v>
      </c>
      <c r="F5" t="s">
        <v>43</v>
      </c>
    </row>
    <row r="6" spans="1:6" x14ac:dyDescent="0.2">
      <c r="A6" t="s">
        <v>44</v>
      </c>
      <c r="B6">
        <v>5</v>
      </c>
      <c r="C6" t="s">
        <v>45</v>
      </c>
      <c r="D6">
        <v>55.43</v>
      </c>
      <c r="E6" t="s">
        <v>37</v>
      </c>
      <c r="F6" t="s">
        <v>46</v>
      </c>
    </row>
    <row r="7" spans="1:6" x14ac:dyDescent="0.2">
      <c r="A7" t="s">
        <v>44</v>
      </c>
      <c r="B7">
        <v>6</v>
      </c>
      <c r="C7" t="s">
        <v>39</v>
      </c>
      <c r="D7">
        <v>184.01</v>
      </c>
      <c r="E7" t="s">
        <v>37</v>
      </c>
      <c r="F7" t="s">
        <v>47</v>
      </c>
    </row>
    <row r="8" spans="1:6" x14ac:dyDescent="0.2">
      <c r="A8" t="s">
        <v>48</v>
      </c>
      <c r="B8">
        <v>7</v>
      </c>
      <c r="C8" t="s">
        <v>39</v>
      </c>
      <c r="D8">
        <v>27.76</v>
      </c>
      <c r="E8" t="s">
        <v>49</v>
      </c>
      <c r="F8" t="s">
        <v>50</v>
      </c>
    </row>
    <row r="9" spans="1:6" x14ac:dyDescent="0.2">
      <c r="A9" t="s">
        <v>48</v>
      </c>
      <c r="B9">
        <v>8</v>
      </c>
      <c r="C9" t="s">
        <v>36</v>
      </c>
      <c r="D9">
        <v>163.13999999999999</v>
      </c>
      <c r="E9" t="s">
        <v>49</v>
      </c>
      <c r="F9" t="s">
        <v>51</v>
      </c>
    </row>
    <row r="10" spans="1:6" x14ac:dyDescent="0.2">
      <c r="A10" t="s">
        <v>52</v>
      </c>
      <c r="B10">
        <v>9</v>
      </c>
      <c r="C10" t="s">
        <v>45</v>
      </c>
      <c r="D10">
        <v>7.21</v>
      </c>
      <c r="E10" t="s">
        <v>49</v>
      </c>
      <c r="F10" t="s">
        <v>53</v>
      </c>
    </row>
    <row r="11" spans="1:6" x14ac:dyDescent="0.2">
      <c r="A11" t="s">
        <v>52</v>
      </c>
      <c r="B11">
        <v>10</v>
      </c>
      <c r="C11" t="s">
        <v>45</v>
      </c>
      <c r="D11">
        <v>3.75</v>
      </c>
      <c r="E11" t="s">
        <v>49</v>
      </c>
      <c r="F11" t="s">
        <v>54</v>
      </c>
    </row>
    <row r="12" spans="1:6" x14ac:dyDescent="0.2">
      <c r="A12" t="s">
        <v>55</v>
      </c>
      <c r="B12">
        <v>11</v>
      </c>
      <c r="C12" t="s">
        <v>45</v>
      </c>
      <c r="D12">
        <v>191.61</v>
      </c>
      <c r="E12" t="s">
        <v>49</v>
      </c>
      <c r="F12" t="s">
        <v>56</v>
      </c>
    </row>
    <row r="13" spans="1:6" x14ac:dyDescent="0.2">
      <c r="A13" t="s">
        <v>55</v>
      </c>
      <c r="B13">
        <v>12</v>
      </c>
      <c r="C13" t="s">
        <v>39</v>
      </c>
      <c r="D13">
        <v>209.52</v>
      </c>
      <c r="E13" t="s">
        <v>49</v>
      </c>
      <c r="F13" t="s">
        <v>57</v>
      </c>
    </row>
    <row r="14" spans="1:6" x14ac:dyDescent="0.2">
      <c r="A14" t="s">
        <v>58</v>
      </c>
      <c r="B14">
        <v>13</v>
      </c>
      <c r="C14" t="s">
        <v>39</v>
      </c>
      <c r="D14">
        <v>227.4</v>
      </c>
      <c r="E14" t="s">
        <v>59</v>
      </c>
      <c r="F14" t="s">
        <v>60</v>
      </c>
    </row>
    <row r="15" spans="1:6" x14ac:dyDescent="0.2">
      <c r="A15" t="s">
        <v>58</v>
      </c>
      <c r="B15">
        <v>14</v>
      </c>
      <c r="C15" t="s">
        <v>61</v>
      </c>
      <c r="D15">
        <v>63.68</v>
      </c>
      <c r="E15" t="s">
        <v>59</v>
      </c>
      <c r="F15" t="s">
        <v>62</v>
      </c>
    </row>
    <row r="16" spans="1:6" x14ac:dyDescent="0.2">
      <c r="A16" t="s">
        <v>63</v>
      </c>
      <c r="B16">
        <v>15</v>
      </c>
      <c r="C16" t="s">
        <v>45</v>
      </c>
      <c r="D16">
        <v>223.53</v>
      </c>
      <c r="E16" t="s">
        <v>59</v>
      </c>
      <c r="F16" t="s">
        <v>64</v>
      </c>
    </row>
    <row r="17" spans="1:6" x14ac:dyDescent="0.2">
      <c r="A17" t="s">
        <v>63</v>
      </c>
      <c r="B17">
        <v>16</v>
      </c>
      <c r="C17" t="s">
        <v>61</v>
      </c>
      <c r="D17">
        <v>21.27</v>
      </c>
      <c r="E17" t="s">
        <v>59</v>
      </c>
      <c r="F17" t="s">
        <v>65</v>
      </c>
    </row>
    <row r="18" spans="1:6" x14ac:dyDescent="0.2">
      <c r="A18" t="s">
        <v>66</v>
      </c>
      <c r="B18">
        <v>17</v>
      </c>
      <c r="C18" t="s">
        <v>45</v>
      </c>
      <c r="D18">
        <v>111.57</v>
      </c>
      <c r="E18" t="s">
        <v>59</v>
      </c>
      <c r="F18" t="s">
        <v>67</v>
      </c>
    </row>
    <row r="19" spans="1:6" x14ac:dyDescent="0.2">
      <c r="A19" t="s">
        <v>66</v>
      </c>
      <c r="B19">
        <v>18</v>
      </c>
      <c r="C19" t="s">
        <v>39</v>
      </c>
      <c r="D19">
        <v>247.45</v>
      </c>
      <c r="E19" t="s">
        <v>59</v>
      </c>
      <c r="F19" t="s">
        <v>68</v>
      </c>
    </row>
    <row r="20" spans="1:6" x14ac:dyDescent="0.2">
      <c r="A20" t="s">
        <v>69</v>
      </c>
      <c r="B20">
        <v>19</v>
      </c>
      <c r="C20" t="s">
        <v>39</v>
      </c>
      <c r="D20">
        <v>73</v>
      </c>
      <c r="E20" t="s">
        <v>70</v>
      </c>
      <c r="F20" t="s">
        <v>71</v>
      </c>
    </row>
    <row r="21" spans="1:6" x14ac:dyDescent="0.2">
      <c r="A21" t="s">
        <v>69</v>
      </c>
      <c r="B21">
        <v>20</v>
      </c>
      <c r="C21" t="s">
        <v>36</v>
      </c>
      <c r="D21">
        <v>170.2</v>
      </c>
      <c r="E21" t="s">
        <v>70</v>
      </c>
      <c r="F21" t="s">
        <v>72</v>
      </c>
    </row>
    <row r="22" spans="1:6" x14ac:dyDescent="0.2">
      <c r="A22" t="s">
        <v>73</v>
      </c>
      <c r="B22">
        <v>21</v>
      </c>
      <c r="C22" t="s">
        <v>36</v>
      </c>
      <c r="D22">
        <v>67.66</v>
      </c>
      <c r="E22" t="s">
        <v>70</v>
      </c>
      <c r="F22" t="s">
        <v>74</v>
      </c>
    </row>
    <row r="23" spans="1:6" x14ac:dyDescent="0.2">
      <c r="A23" t="s">
        <v>73</v>
      </c>
      <c r="B23">
        <v>22</v>
      </c>
      <c r="C23" t="s">
        <v>61</v>
      </c>
      <c r="D23">
        <v>59.72</v>
      </c>
      <c r="E23" t="s">
        <v>70</v>
      </c>
      <c r="F23" t="s">
        <v>75</v>
      </c>
    </row>
    <row r="24" spans="1:6" x14ac:dyDescent="0.2">
      <c r="A24" t="s">
        <v>76</v>
      </c>
      <c r="B24">
        <v>23</v>
      </c>
      <c r="C24" t="s">
        <v>61</v>
      </c>
      <c r="D24">
        <v>36.47</v>
      </c>
      <c r="E24" t="s">
        <v>70</v>
      </c>
      <c r="F24" t="s">
        <v>77</v>
      </c>
    </row>
    <row r="25" spans="1:6" x14ac:dyDescent="0.2">
      <c r="A25" t="s">
        <v>76</v>
      </c>
      <c r="B25">
        <v>24</v>
      </c>
      <c r="C25" t="s">
        <v>61</v>
      </c>
      <c r="D25">
        <v>272.52</v>
      </c>
      <c r="E25" t="s">
        <v>70</v>
      </c>
      <c r="F25" t="s">
        <v>78</v>
      </c>
    </row>
  </sheetData>
  <autoFilter ref="A1:F2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Assignments</vt:lpstr>
      <vt:lpstr>Sheet1</vt:lpstr>
      <vt:lpstr>Sheet2</vt:lpstr>
      <vt:lpstr>Orders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ZANETTI</cp:lastModifiedBy>
  <dcterms:created xsi:type="dcterms:W3CDTF">2026-02-13T17:37:22Z</dcterms:created>
  <dcterms:modified xsi:type="dcterms:W3CDTF">2026-10-22T10:12:22Z</dcterms:modified>
</cp:coreProperties>
</file>